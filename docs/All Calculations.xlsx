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mc:AlternateContent xmlns:mc="http://schemas.openxmlformats.org/markup-compatibility/2006">
    <mc:Choice Requires="x15">
      <x15ac:absPath xmlns:x15ac="http://schemas.microsoft.com/office/spreadsheetml/2010/11/ac" url="https://polytechnicbh-my.sharepoint.com/personal/202203418_student_polytechnic_bh/Documents/Wireless Communications Project/"/>
    </mc:Choice>
  </mc:AlternateContent>
  <xr:revisionPtr revIDLastSave="1170" documentId="11_0B1D56BE9CDCCE836B02CE7A5FB0D4A9BBFD1C62" xr6:coauthVersionLast="47" xr6:coauthVersionMax="47" xr10:uidLastSave="{B3042AF8-824B-4D2A-9E88-89B23AD50BE6}"/>
  <bookViews>
    <workbookView minimized="1" xWindow="0" yWindow="4770" windowWidth="21600" windowHeight="10380" firstSheet="1" xr2:uid="{00000000-000D-0000-FFFF-FFFF00000000}"/>
  </bookViews>
  <sheets>
    <sheet name="Macro Urban" sheetId="1" r:id="rId1"/>
    <sheet name="Micro Urban" sheetId="2" r:id="rId2"/>
    <sheet name="Throughp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B16" i="3"/>
  <c r="C29" i="3"/>
  <c r="C28" i="3"/>
  <c r="D26" i="3"/>
  <c r="B29" i="3"/>
  <c r="B28" i="3"/>
  <c r="H124" i="3"/>
  <c r="D20" i="3"/>
  <c r="C22" i="3"/>
  <c r="B22" i="3"/>
  <c r="D13" i="3"/>
  <c r="C16" i="3"/>
  <c r="C15" i="3"/>
  <c r="B15" i="3"/>
  <c r="D6" i="3"/>
  <c r="C9" i="3"/>
  <c r="P116" i="3"/>
  <c r="P111" i="3"/>
  <c r="P110" i="3"/>
  <c r="P117" i="3" s="1"/>
  <c r="P101" i="3"/>
  <c r="P122" i="3" s="1"/>
  <c r="P124" i="3" s="1"/>
  <c r="P85" i="3"/>
  <c r="P80" i="3"/>
  <c r="P79" i="3"/>
  <c r="P86" i="3" s="1"/>
  <c r="P70" i="3"/>
  <c r="P91" i="3" s="1"/>
  <c r="P93" i="3" s="1"/>
  <c r="P54" i="3"/>
  <c r="P49" i="3"/>
  <c r="P48" i="3"/>
  <c r="P55" i="3" s="1"/>
  <c r="P39" i="3"/>
  <c r="P60" i="3" s="1"/>
  <c r="P62" i="3" s="1"/>
  <c r="H147" i="3"/>
  <c r="H142" i="3"/>
  <c r="H141" i="3"/>
  <c r="H148" i="3" s="1"/>
  <c r="H132" i="3"/>
  <c r="H153" i="3" s="1"/>
  <c r="H155" i="3" s="1"/>
  <c r="H116" i="3"/>
  <c r="H111" i="3"/>
  <c r="H110" i="3"/>
  <c r="H117" i="3" s="1"/>
  <c r="H101" i="3"/>
  <c r="H122" i="3" s="1"/>
  <c r="H85" i="3"/>
  <c r="H80" i="3"/>
  <c r="H79" i="3"/>
  <c r="H86" i="3" s="1"/>
  <c r="H70" i="3"/>
  <c r="H91" i="3" s="1"/>
  <c r="H93" i="3" s="1"/>
  <c r="B9" i="3" s="1"/>
  <c r="H54" i="3"/>
  <c r="H49" i="3"/>
  <c r="H48" i="3"/>
  <c r="H55" i="3" s="1"/>
  <c r="H39" i="3"/>
  <c r="H60" i="3" s="1"/>
  <c r="H62" i="3" s="1"/>
  <c r="B8" i="3" s="1"/>
  <c r="C8" i="3" s="1"/>
  <c r="P23" i="3"/>
  <c r="P18" i="3"/>
  <c r="P17" i="3"/>
  <c r="P24" i="3" s="1"/>
  <c r="P8" i="3"/>
  <c r="P29" i="3" s="1"/>
  <c r="P31" i="3" s="1"/>
  <c r="H17" i="3"/>
  <c r="H18" i="3"/>
  <c r="H23" i="3"/>
  <c r="H24" i="3"/>
  <c r="H29" i="3"/>
  <c r="Q31" i="1"/>
  <c r="Q26" i="2"/>
  <c r="X22" i="1"/>
  <c r="Q30" i="2"/>
  <c r="Q29" i="1"/>
  <c r="Q27" i="1"/>
  <c r="Q20" i="2"/>
  <c r="Q16" i="2"/>
  <c r="Q12" i="2"/>
  <c r="Q8" i="2"/>
  <c r="Q4" i="2"/>
  <c r="Q23" i="1"/>
  <c r="Q15" i="1"/>
  <c r="Q4" i="1"/>
  <c r="Q20" i="1"/>
  <c r="Q13" i="1"/>
  <c r="Q9" i="1"/>
  <c r="Q6" i="1"/>
  <c r="I12" i="2"/>
  <c r="I12" i="1"/>
  <c r="S32" i="1" s="1"/>
  <c r="U32" i="1" s="1"/>
  <c r="S31" i="1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H31" i="3" l="1"/>
  <c r="B7" i="3" s="1"/>
  <c r="B27" i="3"/>
  <c r="B21" i="3"/>
  <c r="B14" i="3"/>
  <c r="C7" i="3"/>
  <c r="C6" i="3" s="1"/>
  <c r="B6" i="3"/>
  <c r="S31" i="2"/>
  <c r="U31" i="2" s="1"/>
  <c r="S30" i="2" s="1"/>
  <c r="S28" i="2"/>
  <c r="U28" i="2" s="1"/>
  <c r="S28" i="1"/>
  <c r="U28" i="1" s="1"/>
  <c r="S27" i="1" s="1"/>
  <c r="S24" i="1"/>
  <c r="U24" i="1" s="1"/>
  <c r="S23" i="1" s="1"/>
  <c r="S30" i="1"/>
  <c r="U30" i="1" s="1"/>
  <c r="S29" i="1" s="1"/>
  <c r="S7" i="1"/>
  <c r="U7" i="1" s="1"/>
  <c r="S8" i="1"/>
  <c r="U8" i="1" s="1"/>
  <c r="S10" i="1"/>
  <c r="U10" i="1" s="1"/>
  <c r="S9" i="1" s="1"/>
  <c r="S5" i="1"/>
  <c r="U5" i="1" s="1"/>
  <c r="S4" i="1" s="1"/>
  <c r="S14" i="1"/>
  <c r="U14" i="1" s="1"/>
  <c r="S13" i="1" s="1"/>
  <c r="S22" i="1"/>
  <c r="U22" i="1" s="1"/>
  <c r="S21" i="1"/>
  <c r="U21" i="1" s="1"/>
  <c r="S20" i="1" s="1"/>
  <c r="S19" i="1" s="1"/>
  <c r="S16" i="1"/>
  <c r="U16" i="1" s="1"/>
  <c r="S17" i="1"/>
  <c r="U17" i="1" s="1"/>
  <c r="S9" i="2"/>
  <c r="U9" i="2" s="1"/>
  <c r="S8" i="2" s="1"/>
  <c r="S29" i="2"/>
  <c r="U29" i="2" s="1"/>
  <c r="S27" i="2"/>
  <c r="S23" i="2"/>
  <c r="U23" i="2" s="1"/>
  <c r="S22" i="2"/>
  <c r="U22" i="2" s="1"/>
  <c r="S21" i="2"/>
  <c r="U21" i="2" s="1"/>
  <c r="S20" i="2" s="1"/>
  <c r="S19" i="2" s="1"/>
  <c r="S17" i="2"/>
  <c r="U17" i="2" s="1"/>
  <c r="S16" i="2" s="1"/>
  <c r="S15" i="2"/>
  <c r="U15" i="2" s="1"/>
  <c r="S14" i="2"/>
  <c r="U14" i="2" s="1"/>
  <c r="S13" i="2"/>
  <c r="U13" i="2" s="1"/>
  <c r="S12" i="2" s="1"/>
  <c r="S11" i="2" s="1"/>
  <c r="S7" i="2"/>
  <c r="U7" i="2" s="1"/>
  <c r="S6" i="2"/>
  <c r="U6" i="2" s="1"/>
  <c r="S5" i="2"/>
  <c r="U5" i="2" s="1"/>
  <c r="S4" i="2" s="1"/>
  <c r="S3" i="2" s="1"/>
  <c r="S26" i="1" l="1"/>
  <c r="C14" i="3"/>
  <c r="C13" i="3" s="1"/>
  <c r="B13" i="3"/>
  <c r="B20" i="3"/>
  <c r="C21" i="3"/>
  <c r="C20" i="3" s="1"/>
  <c r="C27" i="3"/>
  <c r="C26" i="3" s="1"/>
  <c r="B26" i="3"/>
  <c r="U27" i="2"/>
  <c r="S26" i="2" s="1"/>
  <c r="S25" i="2" s="1"/>
  <c r="S6" i="1"/>
  <c r="S3" i="1" s="1"/>
  <c r="S15" i="1"/>
  <c r="S12" i="1" s="1"/>
</calcChain>
</file>

<file path=xl/sharedStrings.xml><?xml version="1.0" encoding="utf-8"?>
<sst xmlns="http://schemas.openxmlformats.org/spreadsheetml/2006/main" count="412" uniqueCount="102">
  <si>
    <t>Total Cells</t>
  </si>
  <si>
    <t>Approx Cells</t>
  </si>
  <si>
    <t>Capital Governorate</t>
  </si>
  <si>
    <t>Distance</t>
  </si>
  <si>
    <t>Path Loss</t>
  </si>
  <si>
    <t>Power Received</t>
  </si>
  <si>
    <t>Pt</t>
  </si>
  <si>
    <t>Watt</t>
  </si>
  <si>
    <t>in dBm</t>
  </si>
  <si>
    <t>Residential areas</t>
  </si>
  <si>
    <t>Frequency</t>
  </si>
  <si>
    <t>GHz</t>
  </si>
  <si>
    <t>Al Eker</t>
  </si>
  <si>
    <t>BS Height</t>
  </si>
  <si>
    <t>Meter</t>
  </si>
  <si>
    <t>Industrial areas</t>
  </si>
  <si>
    <t>UE Height</t>
  </si>
  <si>
    <t>Industrial Sitra</t>
  </si>
  <si>
    <t>MIMO</t>
  </si>
  <si>
    <t xml:space="preserve">number of antennas </t>
  </si>
  <si>
    <t>Minaa Salman</t>
  </si>
  <si>
    <t>Commercial areas</t>
  </si>
  <si>
    <t>Radius</t>
  </si>
  <si>
    <t>Commercial Manama</t>
  </si>
  <si>
    <t>One cell coverage</t>
  </si>
  <si>
    <t>Muharraq Governorate</t>
  </si>
  <si>
    <t>Diyar Al Muharraq</t>
  </si>
  <si>
    <t xml:space="preserve">Al Hidd Industrial </t>
  </si>
  <si>
    <t>Khalifa Bin Salman Port</t>
  </si>
  <si>
    <t>Northern Governorate</t>
  </si>
  <si>
    <t>Dar Kulaib</t>
  </si>
  <si>
    <t>Karzakan</t>
  </si>
  <si>
    <t>Open Spaces</t>
  </si>
  <si>
    <t>Um Al Nasan</t>
  </si>
  <si>
    <t>Southern Governorate</t>
  </si>
  <si>
    <t>Awali</t>
  </si>
  <si>
    <t>Educational Areas</t>
  </si>
  <si>
    <t>University of Bahrain</t>
  </si>
  <si>
    <t xml:space="preserve">Industrial Area </t>
  </si>
  <si>
    <t>Area</t>
  </si>
  <si>
    <t>Sanabis</t>
  </si>
  <si>
    <t>Sanad</t>
  </si>
  <si>
    <t>Jurdab</t>
  </si>
  <si>
    <t>Seef</t>
  </si>
  <si>
    <t xml:space="preserve">Muharraq City </t>
  </si>
  <si>
    <t>Arad &amp; Al Hidd</t>
  </si>
  <si>
    <t>Qalali</t>
  </si>
  <si>
    <t>Airport</t>
  </si>
  <si>
    <t>Bahrain National Airport</t>
  </si>
  <si>
    <t>Karranah</t>
  </si>
  <si>
    <t>Hamad Town</t>
  </si>
  <si>
    <t>Budaiya</t>
  </si>
  <si>
    <t xml:space="preserve">Isa Town </t>
  </si>
  <si>
    <t>Riffa</t>
  </si>
  <si>
    <t>Al Mazrowiah</t>
  </si>
  <si>
    <t>Macro</t>
  </si>
  <si>
    <t>Micro</t>
  </si>
  <si>
    <t>Peak System Throughput for residental area</t>
  </si>
  <si>
    <t>Important Parameters</t>
  </si>
  <si>
    <t>Governorate</t>
  </si>
  <si>
    <t>Total user for each area category (Micro, Macro)</t>
  </si>
  <si>
    <t>Total user for all cells</t>
  </si>
  <si>
    <t>Channel Bandwidth (BW)</t>
  </si>
  <si>
    <t>MHz</t>
  </si>
  <si>
    <t>Capital</t>
  </si>
  <si>
    <t>Subcarrier Spacing (SCS)</t>
  </si>
  <si>
    <t>KHz</t>
  </si>
  <si>
    <t>SE=Modulation Order×Coding Rate</t>
  </si>
  <si>
    <t>bps/Hz, QAM-256 it's highest modulation scheme practically used and it is a most important parameter.</t>
  </si>
  <si>
    <t>Number of Resource Blocks (NRB)</t>
  </si>
  <si>
    <t>NRB= BW/SCS</t>
  </si>
  <si>
    <t xml:space="preserve">Number of Layers (NL) </t>
  </si>
  <si>
    <t>Symbols per Slot</t>
  </si>
  <si>
    <t>(typically 14 for normal CP</t>
  </si>
  <si>
    <t>Overhead (OH)</t>
  </si>
  <si>
    <t>Muharraq</t>
  </si>
  <si>
    <t xml:space="preserve"> Calculate Resource Block Capacity</t>
  </si>
  <si>
    <t>Subcarriers per Resource Block</t>
  </si>
  <si>
    <t>Capacity per RB per Slot</t>
  </si>
  <si>
    <t>bits/slot</t>
  </si>
  <si>
    <t>Slot duration</t>
  </si>
  <si>
    <t>microseconds</t>
  </si>
  <si>
    <t>Northern</t>
  </si>
  <si>
    <t>Calculate Throughput per Resource Block</t>
  </si>
  <si>
    <t>Open spaces</t>
  </si>
  <si>
    <t>Throughput per RB=Capacity per RB per Slot×Number of Slots per Second</t>
  </si>
  <si>
    <t>Number of Slots per Second</t>
  </si>
  <si>
    <t>Throughput per RB</t>
  </si>
  <si>
    <t>Mbps</t>
  </si>
  <si>
    <t>Southern</t>
  </si>
  <si>
    <t>Calculate Total Cell Peak Throughput</t>
  </si>
  <si>
    <t>Total Cell Peak Throughput=Throughput per RB×Number of Resource Blocks×Number of Layers</t>
  </si>
  <si>
    <t>Educational areas</t>
  </si>
  <si>
    <t>Total Cell Peak Throughput</t>
  </si>
  <si>
    <t>Gbps</t>
  </si>
  <si>
    <t>Average user demand</t>
  </si>
  <si>
    <t>Total users per cell</t>
  </si>
  <si>
    <t>Peak System Throughput for Industrial areas</t>
  </si>
  <si>
    <t>Peak System Throughput for Airport</t>
  </si>
  <si>
    <t>Peak System Throughput for Commercial areas</t>
  </si>
  <si>
    <t>Peak System Throughput for Educational Areas</t>
  </si>
  <si>
    <t>Peak System Throughput for Open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</si>
</sst>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rgb="FF006100"/>
      <name val="Aptos Narrow"/>
      <scheme val="minor"/>
    </font>
    <font>
      <b/>
      <sz val="11"/>
      <color rgb="FF3F3F3F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3F3F3F"/>
      <name val="Calibri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5"/>
      <color rgb="FF0D0D0D"/>
      <name val="Times New Roman"/>
      <family val="1"/>
    </font>
    <font>
      <sz val="14"/>
      <color rgb="FF006100"/>
      <name val="Aptos Narrow"/>
      <scheme val="minor"/>
    </font>
    <font>
      <b/>
      <sz val="11"/>
      <color rgb="FF3F3F3F"/>
      <name val="Aptos Narrow"/>
      <charset val="1"/>
    </font>
    <font>
      <sz val="11"/>
      <color theme="0"/>
      <name val="Calibri"/>
      <scheme val="minor"/>
    </font>
    <font>
      <sz val="14"/>
      <color rgb="FFFFFFFF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  <bgColor rgb="FF000000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9" fillId="3" borderId="2" applyNumberFormat="0" applyAlignment="0" applyProtection="0"/>
    <xf numFmtId="0" fontId="15" fillId="5" borderId="0" applyNumberFormat="0" applyBorder="0" applyAlignment="0" applyProtection="0"/>
    <xf numFmtId="0" fontId="1" fillId="6" borderId="0" applyNumberFormat="0" applyBorder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11" fontId="10" fillId="0" borderId="0" xfId="0" applyNumberFormat="1" applyFont="1"/>
    <xf numFmtId="0" fontId="10" fillId="4" borderId="0" xfId="0" applyFont="1" applyFill="1"/>
    <xf numFmtId="0" fontId="11" fillId="0" borderId="0" xfId="0" applyFont="1" applyAlignment="1">
      <alignment wrapText="1"/>
    </xf>
    <xf numFmtId="0" fontId="12" fillId="4" borderId="0" xfId="0" applyFont="1" applyFill="1" applyAlignment="1">
      <alignment wrapText="1"/>
    </xf>
    <xf numFmtId="0" fontId="13" fillId="2" borderId="0" xfId="1" applyFont="1" applyBorder="1" applyAlignment="1">
      <alignment wrapText="1"/>
    </xf>
    <xf numFmtId="0" fontId="14" fillId="0" borderId="0" xfId="0" applyFont="1"/>
    <xf numFmtId="0" fontId="9" fillId="3" borderId="2" xfId="3" applyAlignment="1">
      <alignment horizontal="center"/>
    </xf>
    <xf numFmtId="0" fontId="9" fillId="3" borderId="2" xfId="3" applyAlignment="1">
      <alignment horizontal="center" wrapText="1"/>
    </xf>
    <xf numFmtId="0" fontId="3" fillId="3" borderId="1" xfId="2" applyAlignment="1">
      <alignment horizontal="center"/>
    </xf>
    <xf numFmtId="0" fontId="16" fillId="5" borderId="0" xfId="4" applyFont="1" applyAlignment="1">
      <alignment horizontal="center"/>
    </xf>
    <xf numFmtId="0" fontId="15" fillId="5" borderId="0" xfId="4" applyAlignment="1">
      <alignment horizontal="center"/>
    </xf>
    <xf numFmtId="0" fontId="1" fillId="6" borderId="0" xfId="5" applyAlignment="1">
      <alignment horizontal="center"/>
    </xf>
    <xf numFmtId="0" fontId="1" fillId="6" borderId="0" xfId="5" applyAlignment="1">
      <alignment horizontal="center" wrapText="1"/>
    </xf>
    <xf numFmtId="0" fontId="1" fillId="6" borderId="0" xfId="5" applyAlignment="1">
      <alignment wrapText="1"/>
    </xf>
    <xf numFmtId="0" fontId="1" fillId="6" borderId="0" xfId="5" applyBorder="1" applyAlignment="1">
      <alignment wrapText="1"/>
    </xf>
    <xf numFmtId="0" fontId="7" fillId="3" borderId="1" xfId="2" applyFont="1" applyAlignment="1">
      <alignment horizontal="center"/>
    </xf>
    <xf numFmtId="0" fontId="8" fillId="3" borderId="1" xfId="2" applyFont="1" applyAlignment="1">
      <alignment horizontal="center"/>
    </xf>
  </cellXfs>
  <cellStyles count="6">
    <cellStyle name="40% - Accent1" xfId="5" builtinId="31"/>
    <cellStyle name="Accent5" xfId="4" builtinId="45"/>
    <cellStyle name="Calculation" xfId="3" builtinId="22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04"/>
  <sheetViews>
    <sheetView tabSelected="1" workbookViewId="0">
      <selection activeCell="M6" sqref="M6"/>
    </sheetView>
  </sheetViews>
  <sheetFormatPr defaultRowHeight="15"/>
  <cols>
    <col min="4" max="4" width="15.42578125" customWidth="1"/>
    <col min="8" max="8" width="16" bestFit="1" customWidth="1"/>
    <col min="15" max="15" width="6.5703125" customWidth="1"/>
    <col min="16" max="16" width="22.42578125" customWidth="1"/>
    <col min="19" max="19" width="10.5703125" customWidth="1"/>
    <col min="21" max="21" width="13" customWidth="1"/>
  </cols>
  <sheetData>
    <row r="2" spans="2:21">
      <c r="P2" s="3"/>
      <c r="Q2" s="3"/>
      <c r="R2" s="3"/>
      <c r="S2" s="3" t="s">
        <v>0</v>
      </c>
      <c r="T2" s="3"/>
      <c r="U2" s="3" t="s">
        <v>1</v>
      </c>
    </row>
    <row r="3" spans="2:21">
      <c r="P3" s="16" t="s">
        <v>2</v>
      </c>
      <c r="Q3" s="16">
        <v>79</v>
      </c>
      <c r="R3" s="16"/>
      <c r="S3" s="16">
        <f>SUM(S4+S6+S9)</f>
        <v>23</v>
      </c>
      <c r="T3" s="16"/>
      <c r="U3" s="16"/>
    </row>
    <row r="4" spans="2:21" ht="15.75" customHeight="1">
      <c r="B4" s="1" t="s">
        <v>3</v>
      </c>
      <c r="C4" s="1" t="s">
        <v>4</v>
      </c>
      <c r="D4" s="2" t="s">
        <v>5</v>
      </c>
      <c r="H4" t="s">
        <v>6</v>
      </c>
      <c r="I4">
        <v>50</v>
      </c>
      <c r="J4" t="s">
        <v>7</v>
      </c>
      <c r="K4" t="s">
        <v>8</v>
      </c>
      <c r="L4">
        <v>46.989699999999999</v>
      </c>
      <c r="P4" s="18" t="s">
        <v>9</v>
      </c>
      <c r="Q4" s="18">
        <f>Q5</f>
        <v>2.68</v>
      </c>
      <c r="R4" s="18"/>
      <c r="S4" s="18">
        <f>SUM(U5)</f>
        <v>2</v>
      </c>
      <c r="T4" s="18"/>
      <c r="U4" s="18"/>
    </row>
    <row r="5" spans="2:21">
      <c r="B5" s="3">
        <v>10</v>
      </c>
      <c r="C5" s="3">
        <f>13.54+39.08*LOG10(B5)+20*LOG10($I$5)-0.6*LOG10($I$7-1.5)</f>
        <v>63.681978884403897</v>
      </c>
      <c r="D5" s="4">
        <f>($L$4+10*LOG10($I$8))-C5</f>
        <v>1.3695208554349776</v>
      </c>
      <c r="H5" t="s">
        <v>10</v>
      </c>
      <c r="I5">
        <v>3.5</v>
      </c>
      <c r="J5" t="s">
        <v>11</v>
      </c>
      <c r="P5" s="21" t="s">
        <v>12</v>
      </c>
      <c r="Q5" s="21">
        <v>2.68</v>
      </c>
      <c r="R5" s="21"/>
      <c r="S5" s="21">
        <f>Q5/$I$12</f>
        <v>1.8448756379164342</v>
      </c>
      <c r="T5" s="21"/>
      <c r="U5" s="22">
        <f>ROUND(S5,0)</f>
        <v>2</v>
      </c>
    </row>
    <row r="6" spans="2:21">
      <c r="B6" s="3">
        <v>20</v>
      </c>
      <c r="C6" s="3">
        <f t="shared" ref="C6:C69" si="0">13.54+39.08*LOG10(B6)+20*LOG10($I$5)-0.6*LOG10($I$7-1.5)</f>
        <v>75.446231114952283</v>
      </c>
      <c r="D6" s="4">
        <f t="shared" ref="D6:D69" si="1">($L$4+10*LOG10($I$8))-C6</f>
        <v>-10.394731375113409</v>
      </c>
      <c r="H6" t="s">
        <v>13</v>
      </c>
      <c r="I6">
        <v>35</v>
      </c>
      <c r="J6" t="s">
        <v>14</v>
      </c>
      <c r="P6" s="18" t="s">
        <v>15</v>
      </c>
      <c r="Q6" s="18">
        <f>SUM(Q7:Q8)</f>
        <v>17</v>
      </c>
      <c r="R6" s="18"/>
      <c r="S6" s="25">
        <f>SUM(U7:U8)</f>
        <v>11</v>
      </c>
      <c r="T6" s="25"/>
      <c r="U6" s="25"/>
    </row>
    <row r="7" spans="2:21">
      <c r="B7" s="3">
        <v>30</v>
      </c>
      <c r="C7" s="3">
        <f t="shared" si="0"/>
        <v>82.327877518848297</v>
      </c>
      <c r="D7" s="4">
        <f t="shared" si="1"/>
        <v>-17.276377779009422</v>
      </c>
      <c r="H7" t="s">
        <v>16</v>
      </c>
      <c r="I7">
        <v>2</v>
      </c>
      <c r="J7" t="s">
        <v>14</v>
      </c>
      <c r="P7" s="21" t="s">
        <v>17</v>
      </c>
      <c r="Q7" s="21">
        <v>15</v>
      </c>
      <c r="R7" s="21"/>
      <c r="S7" s="21">
        <f>Q7/$I$12</f>
        <v>10.325796480875564</v>
      </c>
      <c r="T7" s="21"/>
      <c r="U7" s="22">
        <f>ROUND(S7,0)</f>
        <v>10</v>
      </c>
    </row>
    <row r="8" spans="2:21">
      <c r="B8" s="3">
        <v>40</v>
      </c>
      <c r="C8" s="3">
        <f t="shared" si="0"/>
        <v>87.210483345500663</v>
      </c>
      <c r="D8" s="4">
        <f t="shared" si="1"/>
        <v>-22.158983605661788</v>
      </c>
      <c r="H8" t="s">
        <v>18</v>
      </c>
      <c r="I8">
        <v>64</v>
      </c>
      <c r="J8" t="s">
        <v>19</v>
      </c>
      <c r="P8" s="21" t="s">
        <v>20</v>
      </c>
      <c r="Q8" s="21">
        <v>2</v>
      </c>
      <c r="R8" s="21"/>
      <c r="S8" s="21">
        <f>Q8/$I$12</f>
        <v>1.3767728641167418</v>
      </c>
      <c r="T8" s="21"/>
      <c r="U8" s="22">
        <f>ROUND(S8,0)</f>
        <v>1</v>
      </c>
    </row>
    <row r="9" spans="2:21">
      <c r="B9" s="3">
        <v>50</v>
      </c>
      <c r="C9" s="3">
        <f t="shared" si="0"/>
        <v>90.997726653855509</v>
      </c>
      <c r="D9" s="4">
        <f t="shared" si="1"/>
        <v>-25.946226914016634</v>
      </c>
      <c r="P9" s="18" t="s">
        <v>21</v>
      </c>
      <c r="Q9" s="18">
        <f>SUM(Q10:Q10)</f>
        <v>14.15</v>
      </c>
      <c r="R9" s="18"/>
      <c r="S9" s="25">
        <f>SUM(U10)</f>
        <v>10</v>
      </c>
      <c r="T9" s="18"/>
      <c r="U9" s="25"/>
    </row>
    <row r="10" spans="2:21">
      <c r="B10" s="3">
        <v>60</v>
      </c>
      <c r="C10" s="3">
        <f t="shared" si="0"/>
        <v>94.092129749396676</v>
      </c>
      <c r="D10" s="4">
        <f t="shared" si="1"/>
        <v>-29.040630009557802</v>
      </c>
      <c r="H10" t="s">
        <v>22</v>
      </c>
      <c r="I10">
        <v>680</v>
      </c>
      <c r="P10" s="21" t="s">
        <v>23</v>
      </c>
      <c r="Q10" s="21">
        <v>14.15</v>
      </c>
      <c r="R10" s="21"/>
      <c r="S10" s="21">
        <f>Q10/$I$12</f>
        <v>9.7406680136259478</v>
      </c>
      <c r="T10" s="21"/>
      <c r="U10" s="22">
        <f>ROUND(S10,0)</f>
        <v>10</v>
      </c>
    </row>
    <row r="11" spans="2:21">
      <c r="B11" s="3">
        <v>70</v>
      </c>
      <c r="C11" s="3">
        <f t="shared" si="0"/>
        <v>96.708410288161062</v>
      </c>
      <c r="D11" s="4">
        <f t="shared" si="1"/>
        <v>-31.656910548322188</v>
      </c>
      <c r="P11" s="3"/>
      <c r="Q11" s="3"/>
      <c r="R11" s="3"/>
      <c r="S11" s="3"/>
      <c r="T11" s="3"/>
      <c r="U11" s="3"/>
    </row>
    <row r="12" spans="2:21">
      <c r="B12" s="3">
        <v>80</v>
      </c>
      <c r="C12" s="3">
        <f t="shared" si="0"/>
        <v>98.974735576049042</v>
      </c>
      <c r="D12" s="4">
        <f t="shared" si="1"/>
        <v>-33.923235836210168</v>
      </c>
      <c r="H12" t="s">
        <v>24</v>
      </c>
      <c r="I12">
        <f>I10*I10*PI()/1000000</f>
        <v>1.4526724430199203</v>
      </c>
      <c r="P12" s="16" t="s">
        <v>25</v>
      </c>
      <c r="Q12" s="16">
        <v>74</v>
      </c>
      <c r="R12" s="16"/>
      <c r="S12" s="16">
        <f>SUM(S13+S15)</f>
        <v>21</v>
      </c>
      <c r="T12" s="16"/>
      <c r="U12" s="16"/>
    </row>
    <row r="13" spans="2:21">
      <c r="B13" s="3">
        <v>90</v>
      </c>
      <c r="C13" s="3">
        <f t="shared" si="0"/>
        <v>100.97377615329272</v>
      </c>
      <c r="D13" s="4">
        <f t="shared" si="1"/>
        <v>-35.922276413453844</v>
      </c>
      <c r="P13" s="18" t="s">
        <v>9</v>
      </c>
      <c r="Q13" s="18">
        <f>SUM(Q14:Q14)</f>
        <v>12.97</v>
      </c>
      <c r="R13" s="18"/>
      <c r="S13" s="18">
        <f>SUM(U14:U14)</f>
        <v>9</v>
      </c>
      <c r="T13" s="18"/>
      <c r="U13" s="18"/>
    </row>
    <row r="14" spans="2:21">
      <c r="B14" s="3">
        <v>100</v>
      </c>
      <c r="C14" s="3">
        <f t="shared" si="0"/>
        <v>102.76197888440389</v>
      </c>
      <c r="D14" s="4">
        <f t="shared" si="1"/>
        <v>-37.710479144565014</v>
      </c>
      <c r="P14" s="21" t="s">
        <v>26</v>
      </c>
      <c r="Q14" s="21">
        <v>12.97</v>
      </c>
      <c r="R14" s="21"/>
      <c r="S14" s="21">
        <f>Q14/$I$12</f>
        <v>8.9283720237970705</v>
      </c>
      <c r="T14" s="21"/>
      <c r="U14" s="22">
        <f>ROUND(S14,0)</f>
        <v>9</v>
      </c>
    </row>
    <row r="15" spans="2:21">
      <c r="B15" s="3">
        <v>110</v>
      </c>
      <c r="C15" s="3">
        <f t="shared" si="0"/>
        <v>104.37960502038733</v>
      </c>
      <c r="D15" s="4">
        <f t="shared" si="1"/>
        <v>-39.328105280548456</v>
      </c>
      <c r="P15" s="18" t="s">
        <v>15</v>
      </c>
      <c r="Q15" s="18">
        <f>SUM(Q16:Q17)</f>
        <v>17.810000000000002</v>
      </c>
      <c r="R15" s="18"/>
      <c r="S15" s="26">
        <f>SUM(U16:U17)</f>
        <v>12</v>
      </c>
      <c r="T15" s="18"/>
      <c r="U15" s="18"/>
    </row>
    <row r="16" spans="2:21">
      <c r="B16" s="3">
        <v>120</v>
      </c>
      <c r="C16" s="3">
        <f t="shared" si="0"/>
        <v>105.85638197994506</v>
      </c>
      <c r="D16" s="4">
        <f t="shared" si="1"/>
        <v>-40.804882240106181</v>
      </c>
      <c r="P16" s="21" t="s">
        <v>27</v>
      </c>
      <c r="Q16" s="21">
        <v>3.24</v>
      </c>
      <c r="R16" s="21"/>
      <c r="S16" s="21">
        <f>Q16/$I$12</f>
        <v>2.2303720398691218</v>
      </c>
      <c r="T16" s="21"/>
      <c r="U16" s="21">
        <f>ROUND(S16,0)</f>
        <v>2</v>
      </c>
    </row>
    <row r="17" spans="2:24">
      <c r="B17" s="3">
        <v>130</v>
      </c>
      <c r="C17" s="3">
        <f t="shared" si="0"/>
        <v>107.21488509255509</v>
      </c>
      <c r="D17" s="4">
        <f t="shared" si="1"/>
        <v>-42.163385352716219</v>
      </c>
      <c r="P17" s="21" t="s">
        <v>28</v>
      </c>
      <c r="Q17" s="21">
        <v>14.57</v>
      </c>
      <c r="R17" s="21"/>
      <c r="S17" s="21">
        <f>Q17/$I$12</f>
        <v>10.029790315090464</v>
      </c>
      <c r="T17" s="21"/>
      <c r="U17" s="21">
        <f>ROUND(S17,0)</f>
        <v>10</v>
      </c>
    </row>
    <row r="18" spans="2:24">
      <c r="B18" s="3">
        <v>140</v>
      </c>
      <c r="C18" s="3">
        <f t="shared" si="0"/>
        <v>108.47266251870944</v>
      </c>
      <c r="D18" s="4">
        <f t="shared" si="1"/>
        <v>-43.421162778870567</v>
      </c>
      <c r="P18" s="3"/>
      <c r="Q18" s="3"/>
      <c r="R18" s="3"/>
      <c r="S18" s="3"/>
      <c r="T18" s="3"/>
      <c r="U18" s="3"/>
    </row>
    <row r="19" spans="2:24">
      <c r="B19" s="3">
        <v>150</v>
      </c>
      <c r="C19" s="3">
        <f t="shared" si="0"/>
        <v>109.64362528829993</v>
      </c>
      <c r="D19" s="4">
        <f t="shared" si="1"/>
        <v>-44.592125548461055</v>
      </c>
      <c r="P19" s="16" t="s">
        <v>29</v>
      </c>
      <c r="Q19" s="16">
        <v>146</v>
      </c>
      <c r="R19" s="16"/>
      <c r="S19" s="16">
        <f>SUM(S20+S23)</f>
        <v>18</v>
      </c>
      <c r="T19" s="16"/>
      <c r="U19" s="16"/>
      <c r="X19">
        <v>0.94</v>
      </c>
    </row>
    <row r="20" spans="2:24">
      <c r="B20" s="3">
        <v>160</v>
      </c>
      <c r="C20" s="3">
        <f t="shared" si="0"/>
        <v>110.73898780659742</v>
      </c>
      <c r="D20" s="4">
        <f t="shared" si="1"/>
        <v>-45.687488066758547</v>
      </c>
      <c r="P20" s="18" t="s">
        <v>9</v>
      </c>
      <c r="Q20" s="18">
        <f>SUM(Q21:Q22)</f>
        <v>5.15</v>
      </c>
      <c r="R20" s="18"/>
      <c r="S20" s="18">
        <f>SUM(U21:U22)</f>
        <v>3</v>
      </c>
      <c r="T20" s="18"/>
      <c r="U20" s="18"/>
      <c r="X20">
        <v>2.56</v>
      </c>
    </row>
    <row r="21" spans="2:24">
      <c r="B21" s="3">
        <v>170</v>
      </c>
      <c r="C21" s="3">
        <f t="shared" si="0"/>
        <v>111.76792273186685</v>
      </c>
      <c r="D21" s="4">
        <f t="shared" si="1"/>
        <v>-46.716422992027972</v>
      </c>
      <c r="P21" s="21" t="s">
        <v>30</v>
      </c>
      <c r="Q21" s="21">
        <v>2.06</v>
      </c>
      <c r="R21" s="21"/>
      <c r="S21" s="21">
        <f>Q21/$I$12</f>
        <v>1.4180760500402441</v>
      </c>
      <c r="T21" s="21"/>
      <c r="U21" s="21">
        <f>ROUND(S21,0)</f>
        <v>1</v>
      </c>
      <c r="X21">
        <v>28.24</v>
      </c>
    </row>
    <row r="22" spans="2:24">
      <c r="B22" s="3">
        <v>180</v>
      </c>
      <c r="C22" s="3">
        <f t="shared" si="0"/>
        <v>112.7380283838411</v>
      </c>
      <c r="D22" s="4">
        <f t="shared" si="1"/>
        <v>-47.686528644002223</v>
      </c>
      <c r="P22" s="21" t="s">
        <v>31</v>
      </c>
      <c r="Q22" s="21">
        <v>3.09</v>
      </c>
      <c r="R22" s="21"/>
      <c r="S22" s="21">
        <f>Q22/$I$12</f>
        <v>2.1271140750603661</v>
      </c>
      <c r="T22" s="21"/>
      <c r="U22" s="21">
        <f>ROUND(S22,0)</f>
        <v>2</v>
      </c>
      <c r="X22">
        <f>SUM(X19:X21)</f>
        <v>31.74</v>
      </c>
    </row>
    <row r="23" spans="2:24">
      <c r="B23" s="3">
        <v>190</v>
      </c>
      <c r="C23" s="3">
        <f t="shared" si="0"/>
        <v>113.65566960964044</v>
      </c>
      <c r="D23" s="4">
        <f t="shared" si="1"/>
        <v>-48.604169869801567</v>
      </c>
      <c r="P23" s="18" t="s">
        <v>32</v>
      </c>
      <c r="Q23" s="18">
        <f>SUM(Q24)</f>
        <v>21.71</v>
      </c>
      <c r="R23" s="18"/>
      <c r="S23" s="25">
        <f>SUM(U24)</f>
        <v>15</v>
      </c>
      <c r="T23" s="18"/>
      <c r="U23" s="25"/>
    </row>
    <row r="24" spans="2:24">
      <c r="B24" s="3">
        <v>200</v>
      </c>
      <c r="C24" s="3">
        <f t="shared" si="0"/>
        <v>114.5262311149523</v>
      </c>
      <c r="D24" s="4">
        <f t="shared" si="1"/>
        <v>-49.474731375113421</v>
      </c>
      <c r="P24" s="21" t="s">
        <v>33</v>
      </c>
      <c r="Q24" s="21">
        <v>21.71</v>
      </c>
      <c r="R24" s="21"/>
      <c r="S24" s="21">
        <f>Q24/$I$12</f>
        <v>14.944869439987233</v>
      </c>
      <c r="T24" s="21"/>
      <c r="U24" s="21">
        <f>ROUND(S24,0)</f>
        <v>15</v>
      </c>
    </row>
    <row r="25" spans="2:24">
      <c r="B25" s="3">
        <v>210</v>
      </c>
      <c r="C25" s="3">
        <f t="shared" si="0"/>
        <v>115.35430892260545</v>
      </c>
      <c r="D25" s="4">
        <f t="shared" si="1"/>
        <v>-50.30280918276658</v>
      </c>
      <c r="P25" s="3"/>
      <c r="Q25" s="3"/>
      <c r="R25" s="3"/>
      <c r="S25" s="3"/>
      <c r="T25" s="3"/>
      <c r="U25" s="3"/>
    </row>
    <row r="26" spans="2:24">
      <c r="B26" s="3">
        <v>220</v>
      </c>
      <c r="C26" s="3">
        <f t="shared" si="0"/>
        <v>116.14385725093571</v>
      </c>
      <c r="D26" s="4">
        <f t="shared" si="1"/>
        <v>-51.092357511096836</v>
      </c>
      <c r="P26" s="16" t="s">
        <v>34</v>
      </c>
      <c r="Q26" s="16">
        <v>489</v>
      </c>
      <c r="R26" s="16"/>
      <c r="S26" s="16">
        <f>SUM(S27+S29+S31)</f>
        <v>19</v>
      </c>
      <c r="T26" s="16"/>
      <c r="U26" s="16"/>
    </row>
    <row r="27" spans="2:24">
      <c r="B27" s="3">
        <v>230</v>
      </c>
      <c r="C27" s="3">
        <f t="shared" si="0"/>
        <v>116.89830271597144</v>
      </c>
      <c r="D27" s="4">
        <f t="shared" si="1"/>
        <v>-51.846802976132565</v>
      </c>
      <c r="P27" s="18" t="s">
        <v>9</v>
      </c>
      <c r="Q27" s="18">
        <f>SUM(Q28)</f>
        <v>3.43</v>
      </c>
      <c r="R27" s="18"/>
      <c r="S27" s="25">
        <f>SUM(U28)</f>
        <v>2</v>
      </c>
      <c r="T27" s="25"/>
      <c r="U27" s="25"/>
    </row>
    <row r="28" spans="2:24">
      <c r="B28" s="3">
        <v>240</v>
      </c>
      <c r="C28" s="3">
        <f t="shared" si="0"/>
        <v>117.62063421049346</v>
      </c>
      <c r="D28" s="4">
        <f t="shared" si="1"/>
        <v>-52.569134470654589</v>
      </c>
      <c r="P28" s="21" t="s">
        <v>35</v>
      </c>
      <c r="Q28" s="21">
        <v>3.43</v>
      </c>
      <c r="R28" s="21"/>
      <c r="S28" s="21">
        <f>Q28/$I$12</f>
        <v>2.361165461960212</v>
      </c>
      <c r="T28" s="21"/>
      <c r="U28" s="21">
        <f>ROUND(S28,0)</f>
        <v>2</v>
      </c>
    </row>
    <row r="29" spans="2:24">
      <c r="B29" s="4">
        <v>250</v>
      </c>
      <c r="C29" s="4">
        <f t="shared" si="0"/>
        <v>118.31347442330711</v>
      </c>
      <c r="D29" s="4">
        <f t="shared" si="1"/>
        <v>-53.261974683468239</v>
      </c>
      <c r="P29" s="18" t="s">
        <v>36</v>
      </c>
      <c r="Q29" s="18">
        <f>SUM(Q30)</f>
        <v>2.74</v>
      </c>
      <c r="R29" s="18"/>
      <c r="S29" s="25">
        <f>SUM(U30)</f>
        <v>2</v>
      </c>
      <c r="T29" s="18"/>
      <c r="U29" s="25"/>
    </row>
    <row r="30" spans="2:24">
      <c r="B30" s="3">
        <v>260</v>
      </c>
      <c r="C30" s="3">
        <f t="shared" si="0"/>
        <v>118.97913732310344</v>
      </c>
      <c r="D30" s="4">
        <f t="shared" si="1"/>
        <v>-53.92763758326457</v>
      </c>
      <c r="P30" s="21" t="s">
        <v>37</v>
      </c>
      <c r="Q30" s="21">
        <v>2.74</v>
      </c>
      <c r="R30" s="21"/>
      <c r="S30" s="21">
        <f>Q30/$I$12</f>
        <v>1.8861788238399364</v>
      </c>
      <c r="T30" s="21"/>
      <c r="U30" s="21">
        <f>ROUND(S30,0)</f>
        <v>2</v>
      </c>
    </row>
    <row r="31" spans="2:24">
      <c r="B31" s="3">
        <v>270</v>
      </c>
      <c r="C31" s="3">
        <f t="shared" si="0"/>
        <v>119.61967478773711</v>
      </c>
      <c r="D31" s="4">
        <f t="shared" si="1"/>
        <v>-54.568175047898237</v>
      </c>
      <c r="P31" s="25" t="s">
        <v>15</v>
      </c>
      <c r="Q31" s="25">
        <f>SUM(Q32)</f>
        <v>21.39</v>
      </c>
      <c r="R31" s="25"/>
      <c r="S31" s="25">
        <f>SUM(U32)</f>
        <v>15</v>
      </c>
      <c r="T31" s="25"/>
      <c r="U31" s="25"/>
    </row>
    <row r="32" spans="2:24">
      <c r="B32" s="3">
        <v>280</v>
      </c>
      <c r="C32" s="3">
        <f t="shared" si="0"/>
        <v>120.23691474925782</v>
      </c>
      <c r="D32" s="4">
        <f t="shared" si="1"/>
        <v>-55.185415009418946</v>
      </c>
      <c r="P32" s="21" t="s">
        <v>38</v>
      </c>
      <c r="Q32" s="21">
        <v>21.39</v>
      </c>
      <c r="R32" s="21"/>
      <c r="S32" s="21">
        <f>Q32/$I$12</f>
        <v>14.724585781728553</v>
      </c>
      <c r="T32" s="21"/>
      <c r="U32" s="21">
        <f>ROUND(S32,0)</f>
        <v>15</v>
      </c>
    </row>
    <row r="33" spans="2:4">
      <c r="B33" s="3">
        <v>290</v>
      </c>
      <c r="C33" s="3">
        <f t="shared" si="0"/>
        <v>120.83249264229509</v>
      </c>
      <c r="D33" s="4">
        <f t="shared" si="1"/>
        <v>-55.780992902456219</v>
      </c>
    </row>
    <row r="34" spans="2:4">
      <c r="B34" s="4">
        <v>300</v>
      </c>
      <c r="C34" s="4">
        <f t="shared" si="0"/>
        <v>121.40787751884831</v>
      </c>
      <c r="D34" s="4">
        <f t="shared" si="1"/>
        <v>-56.356377779009435</v>
      </c>
    </row>
    <row r="35" spans="2:4">
      <c r="B35" s="3">
        <v>310</v>
      </c>
      <c r="C35" s="3">
        <f t="shared" si="0"/>
        <v>121.96439387944726</v>
      </c>
      <c r="D35" s="4">
        <f t="shared" si="1"/>
        <v>-56.912894139608383</v>
      </c>
    </row>
    <row r="36" spans="2:4">
      <c r="B36" s="3">
        <v>320</v>
      </c>
      <c r="C36" s="3">
        <f t="shared" si="0"/>
        <v>122.5032400371458</v>
      </c>
      <c r="D36" s="4">
        <f t="shared" si="1"/>
        <v>-57.451740297306927</v>
      </c>
    </row>
    <row r="37" spans="2:4">
      <c r="B37" s="3">
        <v>330</v>
      </c>
      <c r="C37" s="3">
        <f t="shared" si="0"/>
        <v>123.02550365483175</v>
      </c>
      <c r="D37" s="4">
        <f t="shared" si="1"/>
        <v>-57.974003914992878</v>
      </c>
    </row>
    <row r="38" spans="2:4">
      <c r="B38" s="3">
        <v>340</v>
      </c>
      <c r="C38" s="3">
        <f t="shared" si="0"/>
        <v>123.53217496241523</v>
      </c>
      <c r="D38" s="4">
        <f t="shared" si="1"/>
        <v>-58.480675222576352</v>
      </c>
    </row>
    <row r="39" spans="2:4">
      <c r="B39" s="3">
        <v>350</v>
      </c>
      <c r="C39" s="3">
        <f t="shared" si="0"/>
        <v>124.02415805761267</v>
      </c>
      <c r="D39" s="4">
        <f t="shared" si="1"/>
        <v>-58.972658317773792</v>
      </c>
    </row>
    <row r="40" spans="2:4">
      <c r="B40" s="3">
        <v>360</v>
      </c>
      <c r="C40" s="3">
        <f t="shared" si="0"/>
        <v>124.50228061438948</v>
      </c>
      <c r="D40" s="4">
        <f t="shared" si="1"/>
        <v>-59.450780874550603</v>
      </c>
    </row>
    <row r="41" spans="2:4">
      <c r="B41" s="3">
        <v>370</v>
      </c>
      <c r="C41" s="3">
        <f t="shared" si="0"/>
        <v>124.96730226094205</v>
      </c>
      <c r="D41" s="4">
        <f t="shared" si="1"/>
        <v>-59.915802521103174</v>
      </c>
    </row>
    <row r="42" spans="2:4">
      <c r="B42" s="3">
        <v>380</v>
      </c>
      <c r="C42" s="3">
        <f t="shared" si="0"/>
        <v>125.41992184018882</v>
      </c>
      <c r="D42" s="4">
        <f t="shared" si="1"/>
        <v>-60.368422100349946</v>
      </c>
    </row>
    <row r="43" spans="2:4">
      <c r="B43" s="3">
        <v>390</v>
      </c>
      <c r="C43" s="3">
        <f t="shared" si="0"/>
        <v>125.86078372699949</v>
      </c>
      <c r="D43" s="4">
        <f t="shared" si="1"/>
        <v>-60.809283987160612</v>
      </c>
    </row>
    <row r="44" spans="2:4">
      <c r="B44" s="3">
        <v>400</v>
      </c>
      <c r="C44" s="3">
        <f t="shared" si="0"/>
        <v>126.29048334550068</v>
      </c>
      <c r="D44" s="4">
        <f t="shared" si="1"/>
        <v>-61.238983605661801</v>
      </c>
    </row>
    <row r="45" spans="2:4">
      <c r="B45" s="3">
        <v>410</v>
      </c>
      <c r="C45" s="3">
        <f t="shared" si="0"/>
        <v>126.70957200501117</v>
      </c>
      <c r="D45" s="4">
        <f t="shared" si="1"/>
        <v>-61.658072265172294</v>
      </c>
    </row>
    <row r="46" spans="2:4">
      <c r="B46" s="3">
        <v>420</v>
      </c>
      <c r="C46" s="3">
        <f t="shared" si="0"/>
        <v>127.11856115315383</v>
      </c>
      <c r="D46" s="4">
        <f t="shared" si="1"/>
        <v>-62.06706141331496</v>
      </c>
    </row>
    <row r="47" spans="2:4">
      <c r="B47" s="3">
        <v>430</v>
      </c>
      <c r="C47" s="3">
        <f t="shared" si="0"/>
        <v>127.51792612845414</v>
      </c>
      <c r="D47" s="4">
        <f t="shared" si="1"/>
        <v>-62.466426388615261</v>
      </c>
    </row>
    <row r="48" spans="2:4">
      <c r="B48" s="3">
        <v>440</v>
      </c>
      <c r="C48" s="3">
        <f t="shared" si="0"/>
        <v>127.90810948148409</v>
      </c>
      <c r="D48" s="4">
        <f t="shared" si="1"/>
        <v>-62.856609741645215</v>
      </c>
    </row>
    <row r="49" spans="2:4">
      <c r="B49" s="3">
        <v>450</v>
      </c>
      <c r="C49" s="3">
        <f t="shared" si="0"/>
        <v>128.28952392274434</v>
      </c>
      <c r="D49" s="4">
        <f t="shared" si="1"/>
        <v>-63.238024182905463</v>
      </c>
    </row>
    <row r="50" spans="2:4">
      <c r="B50" s="3">
        <v>460</v>
      </c>
      <c r="C50" s="3">
        <f t="shared" si="0"/>
        <v>128.6625549465198</v>
      </c>
      <c r="D50" s="4">
        <f t="shared" si="1"/>
        <v>-63.61105520668093</v>
      </c>
    </row>
    <row r="51" spans="2:4">
      <c r="B51" s="3">
        <v>470</v>
      </c>
      <c r="C51" s="3">
        <f t="shared" si="0"/>
        <v>129.02756317253176</v>
      </c>
      <c r="D51" s="4">
        <f t="shared" si="1"/>
        <v>-63.976063432692882</v>
      </c>
    </row>
    <row r="52" spans="2:4">
      <c r="B52" s="4">
        <v>480</v>
      </c>
      <c r="C52" s="4">
        <f t="shared" si="0"/>
        <v>129.38488644104186</v>
      </c>
      <c r="D52" s="4">
        <f t="shared" si="1"/>
        <v>-64.333386701202983</v>
      </c>
    </row>
    <row r="53" spans="2:4">
      <c r="B53" s="3">
        <v>490</v>
      </c>
      <c r="C53" s="3">
        <f t="shared" si="0"/>
        <v>129.73484169191823</v>
      </c>
      <c r="D53" s="4">
        <f t="shared" si="1"/>
        <v>-64.68334195207936</v>
      </c>
    </row>
    <row r="54" spans="2:4">
      <c r="B54" s="3">
        <v>500</v>
      </c>
      <c r="C54" s="3">
        <f t="shared" si="0"/>
        <v>130.07772665385551</v>
      </c>
      <c r="D54" s="4">
        <f t="shared" si="1"/>
        <v>-65.026226914016632</v>
      </c>
    </row>
    <row r="55" spans="2:4">
      <c r="B55" s="3">
        <v>510</v>
      </c>
      <c r="C55" s="3">
        <f t="shared" si="0"/>
        <v>130.41382136631125</v>
      </c>
      <c r="D55" s="4">
        <f t="shared" si="1"/>
        <v>-65.362321626472379</v>
      </c>
    </row>
    <row r="56" spans="2:4">
      <c r="B56" s="3">
        <v>520</v>
      </c>
      <c r="C56" s="3">
        <f t="shared" si="0"/>
        <v>130.74338955365187</v>
      </c>
      <c r="D56" s="4">
        <f t="shared" si="1"/>
        <v>-65.691889813812992</v>
      </c>
    </row>
    <row r="57" spans="2:4">
      <c r="B57" s="3">
        <v>530</v>
      </c>
      <c r="C57" s="3">
        <f t="shared" si="0"/>
        <v>131.06667986840276</v>
      </c>
      <c r="D57" s="4">
        <f t="shared" si="1"/>
        <v>-66.015180128563884</v>
      </c>
    </row>
    <row r="58" spans="2:4">
      <c r="B58" s="3">
        <v>540</v>
      </c>
      <c r="C58" s="3">
        <f t="shared" si="0"/>
        <v>131.38392701828553</v>
      </c>
      <c r="D58" s="4">
        <f t="shared" si="1"/>
        <v>-66.332427278446659</v>
      </c>
    </row>
    <row r="59" spans="2:4">
      <c r="B59" s="3">
        <v>550</v>
      </c>
      <c r="C59" s="3">
        <f t="shared" si="0"/>
        <v>131.69535278983895</v>
      </c>
      <c r="D59" s="4">
        <f t="shared" si="1"/>
        <v>-66.643853050000075</v>
      </c>
    </row>
    <row r="60" spans="2:4">
      <c r="B60" s="3">
        <v>560</v>
      </c>
      <c r="C60" s="3">
        <f t="shared" si="0"/>
        <v>132.00116697980621</v>
      </c>
      <c r="D60" s="4">
        <f t="shared" si="1"/>
        <v>-66.94966723996734</v>
      </c>
    </row>
    <row r="61" spans="2:4">
      <c r="B61" s="3">
        <v>570</v>
      </c>
      <c r="C61" s="3">
        <f t="shared" si="0"/>
        <v>132.30156824408488</v>
      </c>
      <c r="D61" s="4">
        <f t="shared" si="1"/>
        <v>-67.250068504246002</v>
      </c>
    </row>
    <row r="62" spans="2:4">
      <c r="B62" s="3">
        <v>580</v>
      </c>
      <c r="C62" s="3">
        <f t="shared" si="0"/>
        <v>132.59674487284349</v>
      </c>
      <c r="D62" s="4">
        <f t="shared" si="1"/>
        <v>-67.545245133004613</v>
      </c>
    </row>
    <row r="63" spans="2:4">
      <c r="B63" s="3">
        <v>590</v>
      </c>
      <c r="C63" s="3">
        <f t="shared" si="0"/>
        <v>132.8868754993789</v>
      </c>
      <c r="D63" s="4">
        <f t="shared" si="1"/>
        <v>-67.835375759540028</v>
      </c>
    </row>
    <row r="64" spans="2:4">
      <c r="B64" s="3">
        <v>600</v>
      </c>
      <c r="C64" s="3">
        <f t="shared" si="0"/>
        <v>133.1721297493967</v>
      </c>
      <c r="D64" s="4">
        <f t="shared" si="1"/>
        <v>-68.120630009557829</v>
      </c>
    </row>
    <row r="65" spans="2:4">
      <c r="B65" s="3">
        <v>610</v>
      </c>
      <c r="C65" s="3">
        <f t="shared" si="0"/>
        <v>133.4526688366247</v>
      </c>
      <c r="D65" s="4">
        <f t="shared" si="1"/>
        <v>-68.401169096785821</v>
      </c>
    </row>
    <row r="66" spans="2:4">
      <c r="B66" s="3">
        <v>620</v>
      </c>
      <c r="C66" s="3">
        <f t="shared" si="0"/>
        <v>133.72864610999568</v>
      </c>
      <c r="D66" s="4">
        <f t="shared" si="1"/>
        <v>-68.677146370156805</v>
      </c>
    </row>
    <row r="67" spans="2:4">
      <c r="B67" s="3">
        <v>630</v>
      </c>
      <c r="C67" s="3">
        <f t="shared" si="0"/>
        <v>134.00020755704989</v>
      </c>
      <c r="D67" s="4">
        <f t="shared" si="1"/>
        <v>-68.948707817211016</v>
      </c>
    </row>
    <row r="68" spans="2:4">
      <c r="B68" s="3">
        <v>640</v>
      </c>
      <c r="C68" s="3">
        <f t="shared" si="0"/>
        <v>134.26749226769422</v>
      </c>
      <c r="D68" s="4">
        <f t="shared" si="1"/>
        <v>-69.215992527855349</v>
      </c>
    </row>
    <row r="69" spans="2:4">
      <c r="B69" s="3">
        <v>650</v>
      </c>
      <c r="C69" s="3">
        <f t="shared" si="0"/>
        <v>134.53063286200671</v>
      </c>
      <c r="D69" s="4">
        <f t="shared" si="1"/>
        <v>-69.479133122167838</v>
      </c>
    </row>
    <row r="70" spans="2:4">
      <c r="B70" s="3">
        <v>660</v>
      </c>
      <c r="C70" s="3">
        <f t="shared" ref="C70:C104" si="2">13.54+39.08*LOG10(B70)+20*LOG10($I$5)-0.6*LOG10($I$7-1.5)</f>
        <v>134.78975588538015</v>
      </c>
      <c r="D70" s="4">
        <f t="shared" ref="D70:D104" si="3">($L$4+10*LOG10($I$8))-C70</f>
        <v>-69.738256145541271</v>
      </c>
    </row>
    <row r="71" spans="2:4">
      <c r="B71" s="3">
        <v>670</v>
      </c>
      <c r="C71" s="3">
        <f t="shared" si="2"/>
        <v>135.04498217395221</v>
      </c>
      <c r="D71" s="4">
        <f t="shared" si="3"/>
        <v>-69.993482434113332</v>
      </c>
    </row>
    <row r="72" spans="2:4">
      <c r="B72" s="5">
        <v>680</v>
      </c>
      <c r="C72" s="5">
        <f t="shared" si="2"/>
        <v>135.29642719296362</v>
      </c>
      <c r="D72" s="5">
        <f t="shared" si="3"/>
        <v>-70.244927453124745</v>
      </c>
    </row>
    <row r="73" spans="2:4">
      <c r="B73" s="3">
        <v>690</v>
      </c>
      <c r="C73" s="3">
        <f t="shared" si="2"/>
        <v>135.54420135041585</v>
      </c>
      <c r="D73" s="4">
        <f t="shared" si="3"/>
        <v>-70.492701610576972</v>
      </c>
    </row>
    <row r="74" spans="2:4">
      <c r="B74" s="3">
        <v>700</v>
      </c>
      <c r="C74" s="3">
        <f t="shared" si="2"/>
        <v>135.78841028816106</v>
      </c>
      <c r="D74" s="4">
        <f t="shared" si="3"/>
        <v>-70.736910548322186</v>
      </c>
    </row>
    <row r="75" spans="2:4">
      <c r="B75" s="4">
        <v>710</v>
      </c>
      <c r="C75" s="4">
        <f t="shared" si="2"/>
        <v>136.02915515234537</v>
      </c>
      <c r="D75" s="4">
        <f t="shared" si="3"/>
        <v>-70.977655412506493</v>
      </c>
    </row>
    <row r="76" spans="2:4">
      <c r="B76" s="3">
        <v>720</v>
      </c>
      <c r="C76" s="3">
        <f t="shared" si="2"/>
        <v>136.26653284493787</v>
      </c>
      <c r="D76" s="4">
        <f t="shared" si="3"/>
        <v>-71.215033105098996</v>
      </c>
    </row>
    <row r="77" spans="2:4">
      <c r="B77" s="3">
        <v>730</v>
      </c>
      <c r="C77" s="3">
        <f t="shared" si="2"/>
        <v>136.50063625791131</v>
      </c>
      <c r="D77" s="4">
        <f t="shared" si="3"/>
        <v>-71.449136518072436</v>
      </c>
    </row>
    <row r="78" spans="2:4">
      <c r="B78" s="3">
        <v>740</v>
      </c>
      <c r="C78" s="3">
        <f t="shared" si="2"/>
        <v>136.73155449149047</v>
      </c>
      <c r="D78" s="4">
        <f t="shared" si="3"/>
        <v>-71.680054751651596</v>
      </c>
    </row>
    <row r="79" spans="2:4">
      <c r="B79" s="3">
        <v>750</v>
      </c>
      <c r="C79" s="3">
        <f t="shared" si="2"/>
        <v>136.95937305775155</v>
      </c>
      <c r="D79" s="4">
        <f t="shared" si="3"/>
        <v>-71.907873317912674</v>
      </c>
    </row>
    <row r="80" spans="2:4">
      <c r="B80" s="4">
        <v>760</v>
      </c>
      <c r="C80" s="4">
        <f t="shared" si="2"/>
        <v>137.18417407073724</v>
      </c>
      <c r="D80" s="4">
        <f t="shared" si="3"/>
        <v>-72.132674330898368</v>
      </c>
    </row>
    <row r="81" spans="2:4">
      <c r="B81" s="3">
        <v>770</v>
      </c>
      <c r="C81" s="3">
        <f t="shared" si="2"/>
        <v>137.4060364241445</v>
      </c>
      <c r="D81" s="4">
        <f t="shared" si="3"/>
        <v>-72.354536684305629</v>
      </c>
    </row>
    <row r="82" spans="2:4">
      <c r="B82" s="3">
        <v>780</v>
      </c>
      <c r="C82" s="3">
        <f t="shared" si="2"/>
        <v>137.62503595754788</v>
      </c>
      <c r="D82" s="4">
        <f t="shared" si="3"/>
        <v>-72.573536217709005</v>
      </c>
    </row>
    <row r="83" spans="2:4">
      <c r="B83" s="3">
        <v>790</v>
      </c>
      <c r="C83" s="3">
        <f t="shared" si="2"/>
        <v>137.84124561203436</v>
      </c>
      <c r="D83" s="4">
        <f t="shared" si="3"/>
        <v>-72.789745872195482</v>
      </c>
    </row>
    <row r="84" spans="2:4">
      <c r="B84" s="3">
        <v>800</v>
      </c>
      <c r="C84" s="3">
        <f t="shared" si="2"/>
        <v>138.05473557604907</v>
      </c>
      <c r="D84" s="4">
        <f t="shared" si="3"/>
        <v>-73.003235836210195</v>
      </c>
    </row>
    <row r="85" spans="2:4">
      <c r="B85" s="3">
        <v>810</v>
      </c>
      <c r="C85" s="3">
        <f t="shared" si="2"/>
        <v>138.26557342218155</v>
      </c>
      <c r="D85" s="4">
        <f t="shared" si="3"/>
        <v>-73.214073682342672</v>
      </c>
    </row>
    <row r="86" spans="2:4">
      <c r="B86" s="3">
        <v>820</v>
      </c>
      <c r="C86" s="3">
        <f t="shared" si="2"/>
        <v>138.47382423555956</v>
      </c>
      <c r="D86" s="4">
        <f t="shared" si="3"/>
        <v>-73.422324495720687</v>
      </c>
    </row>
    <row r="87" spans="2:4">
      <c r="B87" s="3">
        <v>830</v>
      </c>
      <c r="C87" s="3">
        <f t="shared" si="2"/>
        <v>138.67955073446086</v>
      </c>
      <c r="D87" s="4">
        <f t="shared" si="3"/>
        <v>-73.628050994621987</v>
      </c>
    </row>
    <row r="88" spans="2:4">
      <c r="B88" s="3">
        <v>840</v>
      </c>
      <c r="C88" s="3">
        <f t="shared" si="2"/>
        <v>138.88281338370223</v>
      </c>
      <c r="D88" s="4">
        <f t="shared" si="3"/>
        <v>-73.831313643863353</v>
      </c>
    </row>
    <row r="89" spans="2:4">
      <c r="B89" s="3">
        <v>850</v>
      </c>
      <c r="C89" s="3">
        <f t="shared" si="2"/>
        <v>139.08367050131847</v>
      </c>
      <c r="D89" s="4">
        <f t="shared" si="3"/>
        <v>-74.032170761479591</v>
      </c>
    </row>
    <row r="90" spans="2:4">
      <c r="B90" s="3">
        <v>860</v>
      </c>
      <c r="C90" s="3">
        <f t="shared" si="2"/>
        <v>139.28217835900253</v>
      </c>
      <c r="D90" s="4">
        <f t="shared" si="3"/>
        <v>-74.230678619163655</v>
      </c>
    </row>
    <row r="91" spans="2:4">
      <c r="B91" s="3">
        <v>870</v>
      </c>
      <c r="C91" s="3">
        <f t="shared" si="2"/>
        <v>139.47839127673953</v>
      </c>
      <c r="D91" s="4">
        <f t="shared" si="3"/>
        <v>-74.426891536900655</v>
      </c>
    </row>
    <row r="92" spans="2:4">
      <c r="B92" s="3">
        <v>880</v>
      </c>
      <c r="C92" s="3">
        <f t="shared" si="2"/>
        <v>139.67236171203251</v>
      </c>
      <c r="D92" s="4">
        <f t="shared" si="3"/>
        <v>-74.620861972193637</v>
      </c>
    </row>
    <row r="93" spans="2:4">
      <c r="B93" s="3">
        <v>890</v>
      </c>
      <c r="C93" s="3">
        <f t="shared" si="2"/>
        <v>139.8641403440871</v>
      </c>
      <c r="D93" s="4">
        <f t="shared" si="3"/>
        <v>-74.81264060424823</v>
      </c>
    </row>
    <row r="94" spans="2:4">
      <c r="B94" s="3">
        <v>900</v>
      </c>
      <c r="C94" s="3">
        <f t="shared" si="2"/>
        <v>140.05377615329272</v>
      </c>
      <c r="D94" s="4">
        <f t="shared" si="3"/>
        <v>-75.002276413453842</v>
      </c>
    </row>
    <row r="95" spans="2:4">
      <c r="B95" s="3">
        <v>910</v>
      </c>
      <c r="C95" s="3">
        <f t="shared" si="2"/>
        <v>140.24131649631224</v>
      </c>
      <c r="D95" s="4">
        <f t="shared" si="3"/>
        <v>-75.189816756473363</v>
      </c>
    </row>
    <row r="96" spans="2:4">
      <c r="B96" s="4">
        <v>920</v>
      </c>
      <c r="C96" s="4">
        <f t="shared" si="2"/>
        <v>140.42680717706821</v>
      </c>
      <c r="D96" s="4">
        <f t="shared" si="3"/>
        <v>-75.375307437229338</v>
      </c>
    </row>
    <row r="97" spans="2:4">
      <c r="B97" s="3">
        <v>930</v>
      </c>
      <c r="C97" s="3">
        <f t="shared" si="2"/>
        <v>140.61029251389169</v>
      </c>
      <c r="D97" s="4">
        <f t="shared" si="3"/>
        <v>-75.558792774052819</v>
      </c>
    </row>
    <row r="98" spans="2:4">
      <c r="B98" s="3">
        <v>940</v>
      </c>
      <c r="C98" s="3">
        <f t="shared" si="2"/>
        <v>140.79181540308014</v>
      </c>
      <c r="D98" s="4">
        <f t="shared" si="3"/>
        <v>-75.740315663241262</v>
      </c>
    </row>
    <row r="99" spans="2:4">
      <c r="B99" s="3">
        <v>950</v>
      </c>
      <c r="C99" s="3">
        <f t="shared" si="2"/>
        <v>140.97141737909206</v>
      </c>
      <c r="D99" s="4">
        <f t="shared" si="3"/>
        <v>-75.919917639253185</v>
      </c>
    </row>
    <row r="100" spans="2:4">
      <c r="B100" s="3">
        <v>960</v>
      </c>
      <c r="C100" s="3">
        <f t="shared" si="2"/>
        <v>141.14913867159024</v>
      </c>
      <c r="D100" s="4">
        <f t="shared" si="3"/>
        <v>-76.097638931751362</v>
      </c>
    </row>
    <row r="101" spans="2:4">
      <c r="B101" s="3">
        <v>970</v>
      </c>
      <c r="C101" s="3">
        <f t="shared" si="2"/>
        <v>141.32501825952875</v>
      </c>
      <c r="D101" s="4">
        <f t="shared" si="3"/>
        <v>-76.273518519689873</v>
      </c>
    </row>
    <row r="102" spans="2:4">
      <c r="B102" s="3">
        <v>980</v>
      </c>
      <c r="C102" s="3">
        <f t="shared" si="2"/>
        <v>141.49909392246659</v>
      </c>
      <c r="D102" s="4">
        <f t="shared" si="3"/>
        <v>-76.447594182627711</v>
      </c>
    </row>
    <row r="103" spans="2:4">
      <c r="B103" s="3">
        <v>990</v>
      </c>
      <c r="C103" s="3">
        <f t="shared" si="2"/>
        <v>141.67140228927616</v>
      </c>
      <c r="D103" s="4">
        <f t="shared" si="3"/>
        <v>-76.619902549437285</v>
      </c>
    </row>
    <row r="104" spans="2:4">
      <c r="B104" s="3">
        <v>1000</v>
      </c>
      <c r="C104" s="3">
        <f t="shared" si="2"/>
        <v>141.84197888440391</v>
      </c>
      <c r="D104" s="4">
        <f t="shared" si="3"/>
        <v>-76.79047914456504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5163-3FCF-454C-92F7-129387F4FB75}">
  <dimension ref="B2:U104"/>
  <sheetViews>
    <sheetView zoomScale="130" zoomScaleNormal="130" workbookViewId="0">
      <selection activeCell="H15" sqref="H15"/>
    </sheetView>
  </sheetViews>
  <sheetFormatPr defaultRowHeight="15"/>
  <cols>
    <col min="3" max="3" width="11.85546875" customWidth="1"/>
    <col min="4" max="4" width="13.42578125" customWidth="1"/>
    <col min="8" max="8" width="16" bestFit="1" customWidth="1"/>
    <col min="9" max="9" width="9" customWidth="1"/>
    <col min="16" max="16" width="22.140625" bestFit="1" customWidth="1"/>
    <col min="17" max="17" width="11.7109375" bestFit="1" customWidth="1"/>
    <col min="19" max="19" width="10.140625" bestFit="1" customWidth="1"/>
    <col min="21" max="21" width="11.5703125" bestFit="1" customWidth="1"/>
  </cols>
  <sheetData>
    <row r="2" spans="2:21">
      <c r="P2" s="3"/>
      <c r="Q2" s="3" t="s">
        <v>39</v>
      </c>
      <c r="R2" s="3"/>
      <c r="S2" s="3" t="s">
        <v>0</v>
      </c>
      <c r="T2" s="3"/>
      <c r="U2" s="3" t="s">
        <v>1</v>
      </c>
    </row>
    <row r="3" spans="2:21">
      <c r="P3" s="16" t="s">
        <v>2</v>
      </c>
      <c r="Q3" s="16">
        <v>79</v>
      </c>
      <c r="R3" s="16"/>
      <c r="S3" s="16">
        <f>SUM(S4+S8)</f>
        <v>15</v>
      </c>
      <c r="T3" s="16"/>
      <c r="U3" s="16"/>
    </row>
    <row r="4" spans="2:21">
      <c r="B4" s="1" t="s">
        <v>3</v>
      </c>
      <c r="C4" s="1" t="s">
        <v>4</v>
      </c>
      <c r="D4" s="1" t="s">
        <v>5</v>
      </c>
      <c r="H4" t="s">
        <v>6</v>
      </c>
      <c r="I4">
        <v>100</v>
      </c>
      <c r="J4" t="s">
        <v>7</v>
      </c>
      <c r="K4" t="s">
        <v>8</v>
      </c>
      <c r="L4">
        <v>50</v>
      </c>
      <c r="P4" s="18" t="s">
        <v>9</v>
      </c>
      <c r="Q4" s="18">
        <f>SUM(Q5:Q7)</f>
        <v>6.6700000000000008</v>
      </c>
      <c r="R4" s="18"/>
      <c r="S4" s="18">
        <f>SUM(U5:U7)</f>
        <v>10</v>
      </c>
      <c r="T4" s="18"/>
      <c r="U4" s="18"/>
    </row>
    <row r="5" spans="2:21">
      <c r="B5" s="3">
        <v>10</v>
      </c>
      <c r="C5">
        <f xml:space="preserve"> 13.54 + 39.08 *LOG10(B5) + 20*LOG10($I$5) - 0.6 *LOG10($I$7 - 1.5)</f>
        <v>80.404842831630503</v>
      </c>
      <c r="D5">
        <f t="shared" ref="D5:D31" si="0">($L$4+10*LOG10($I$8))-C5</f>
        <v>-9.3327431351518157</v>
      </c>
      <c r="H5" t="s">
        <v>10</v>
      </c>
      <c r="I5">
        <v>24</v>
      </c>
      <c r="J5" t="s">
        <v>11</v>
      </c>
      <c r="P5" s="21" t="s">
        <v>40</v>
      </c>
      <c r="Q5" s="21">
        <v>1.62</v>
      </c>
      <c r="R5" s="21"/>
      <c r="S5" s="21">
        <f>Q5/$I$12</f>
        <v>2.4369660473428212</v>
      </c>
      <c r="T5" s="21"/>
      <c r="U5" s="21">
        <f>ROUND(S5,0)</f>
        <v>2</v>
      </c>
    </row>
    <row r="6" spans="2:21">
      <c r="B6" s="3">
        <v>20</v>
      </c>
      <c r="C6">
        <f t="shared" ref="C6:C31" si="1" xml:space="preserve"> 13.54 + 39.08 *LOG10(B6) + 20*LOG10($I$5) - 0.6 *LOG10($I$7 - 1.5)</f>
        <v>92.169095062178897</v>
      </c>
      <c r="D6">
        <f t="shared" si="0"/>
        <v>-21.096995365700209</v>
      </c>
      <c r="H6" t="s">
        <v>13</v>
      </c>
      <c r="I6">
        <v>35</v>
      </c>
      <c r="J6" t="s">
        <v>14</v>
      </c>
      <c r="P6" s="21" t="s">
        <v>41</v>
      </c>
      <c r="Q6" s="21">
        <v>3.85</v>
      </c>
      <c r="R6" s="21"/>
      <c r="S6" s="21">
        <f t="shared" ref="S6" si="2">Q6/$I$12</f>
        <v>5.7915551125122606</v>
      </c>
      <c r="T6" s="21"/>
      <c r="U6" s="21">
        <f>ROUND(S6,0)</f>
        <v>6</v>
      </c>
    </row>
    <row r="7" spans="2:21">
      <c r="B7" s="3">
        <v>30</v>
      </c>
      <c r="C7">
        <f t="shared" si="1"/>
        <v>99.050741466074911</v>
      </c>
      <c r="D7">
        <f t="shared" si="0"/>
        <v>-27.978641769596223</v>
      </c>
      <c r="H7" t="s">
        <v>16</v>
      </c>
      <c r="I7">
        <v>2</v>
      </c>
      <c r="J7" t="s">
        <v>14</v>
      </c>
      <c r="P7" s="21" t="s">
        <v>42</v>
      </c>
      <c r="Q7" s="21">
        <v>1.2</v>
      </c>
      <c r="R7" s="21"/>
      <c r="S7" s="21">
        <f>Q7/$I$12</f>
        <v>1.8051600350687564</v>
      </c>
      <c r="T7" s="21"/>
      <c r="U7" s="21">
        <f>ROUND(S7,0)</f>
        <v>2</v>
      </c>
    </row>
    <row r="8" spans="2:21">
      <c r="B8" s="3">
        <v>40</v>
      </c>
      <c r="C8">
        <f t="shared" si="1"/>
        <v>103.93334729272728</v>
      </c>
      <c r="D8">
        <f t="shared" si="0"/>
        <v>-32.861247596248589</v>
      </c>
      <c r="H8" t="s">
        <v>18</v>
      </c>
      <c r="I8">
        <v>128</v>
      </c>
      <c r="J8" t="s">
        <v>19</v>
      </c>
      <c r="P8" s="18" t="s">
        <v>21</v>
      </c>
      <c r="Q8" s="18">
        <f>SUM(Q9)</f>
        <v>3.63</v>
      </c>
      <c r="R8" s="18"/>
      <c r="S8" s="18">
        <f>SUM(U9)</f>
        <v>5</v>
      </c>
      <c r="T8" s="18"/>
      <c r="U8" s="25"/>
    </row>
    <row r="9" spans="2:21">
      <c r="B9" s="3">
        <v>50</v>
      </c>
      <c r="C9">
        <f t="shared" si="1"/>
        <v>107.72059060108212</v>
      </c>
      <c r="D9">
        <f t="shared" si="0"/>
        <v>-36.648490904603435</v>
      </c>
      <c r="P9" s="21" t="s">
        <v>43</v>
      </c>
      <c r="Q9" s="21">
        <v>3.63</v>
      </c>
      <c r="R9" s="21"/>
      <c r="S9" s="21">
        <f>Q9/$I$12</f>
        <v>5.4606091060829884</v>
      </c>
      <c r="T9" s="21"/>
      <c r="U9" s="21">
        <f>ROUND(S9,0)</f>
        <v>5</v>
      </c>
    </row>
    <row r="10" spans="2:21">
      <c r="B10" s="3">
        <v>60</v>
      </c>
      <c r="C10">
        <f t="shared" si="1"/>
        <v>110.81499369662329</v>
      </c>
      <c r="D10">
        <f t="shared" si="0"/>
        <v>-39.742894000144602</v>
      </c>
      <c r="H10" t="s">
        <v>22</v>
      </c>
      <c r="I10">
        <v>460</v>
      </c>
      <c r="P10" s="3"/>
      <c r="Q10" s="3"/>
      <c r="R10" s="3"/>
      <c r="S10" s="3"/>
      <c r="T10" s="3"/>
      <c r="U10" s="3"/>
    </row>
    <row r="11" spans="2:21">
      <c r="B11" s="3">
        <v>70</v>
      </c>
      <c r="C11">
        <f t="shared" si="1"/>
        <v>113.43127423538768</v>
      </c>
      <c r="D11">
        <f t="shared" si="0"/>
        <v>-42.359174538908988</v>
      </c>
      <c r="P11" s="16" t="s">
        <v>25</v>
      </c>
      <c r="Q11" s="16">
        <v>74</v>
      </c>
      <c r="R11" s="16"/>
      <c r="S11" s="16">
        <f>SUM(S12+S16)</f>
        <v>40</v>
      </c>
      <c r="T11" s="16"/>
      <c r="U11" s="16"/>
    </row>
    <row r="12" spans="2:21">
      <c r="B12" s="3">
        <v>80</v>
      </c>
      <c r="C12">
        <f t="shared" si="1"/>
        <v>115.69759952327566</v>
      </c>
      <c r="D12">
        <f t="shared" si="0"/>
        <v>-44.625499826796968</v>
      </c>
      <c r="H12" t="s">
        <v>24</v>
      </c>
      <c r="I12">
        <f>I10*I10*PI()/1000000</f>
        <v>0.66476100549960015</v>
      </c>
      <c r="P12" s="18" t="s">
        <v>9</v>
      </c>
      <c r="Q12" s="18">
        <f>SUM(Q13:Q15)</f>
        <v>20.589999999999996</v>
      </c>
      <c r="R12" s="18"/>
      <c r="S12" s="18">
        <f>SUM(U13:U15)</f>
        <v>31</v>
      </c>
      <c r="T12" s="18"/>
      <c r="U12" s="25"/>
    </row>
    <row r="13" spans="2:21">
      <c r="B13" s="3">
        <v>90</v>
      </c>
      <c r="C13">
        <f t="shared" si="1"/>
        <v>117.69664010051933</v>
      </c>
      <c r="D13">
        <f t="shared" si="0"/>
        <v>-46.624540404040644</v>
      </c>
      <c r="P13" s="21" t="s">
        <v>44</v>
      </c>
      <c r="Q13" s="21">
        <v>4.88</v>
      </c>
      <c r="R13" s="21"/>
      <c r="S13" s="21">
        <f>Q13/$I$12</f>
        <v>7.3409841426129425</v>
      </c>
      <c r="T13" s="21"/>
      <c r="U13" s="21">
        <f>ROUND(S13,0)</f>
        <v>7</v>
      </c>
    </row>
    <row r="14" spans="2:21">
      <c r="B14" s="3">
        <v>100</v>
      </c>
      <c r="C14">
        <f t="shared" si="1"/>
        <v>119.4848428316305</v>
      </c>
      <c r="D14">
        <f t="shared" si="0"/>
        <v>-48.412743135151814</v>
      </c>
      <c r="P14" s="21" t="s">
        <v>45</v>
      </c>
      <c r="Q14" s="21">
        <v>12.7</v>
      </c>
      <c r="R14" s="21"/>
      <c r="S14" s="21">
        <f>Q14/$I$12</f>
        <v>19.104610371144339</v>
      </c>
      <c r="T14" s="21"/>
      <c r="U14" s="21">
        <f>ROUND(S14,0)</f>
        <v>19</v>
      </c>
    </row>
    <row r="15" spans="2:21">
      <c r="B15" s="3">
        <v>110</v>
      </c>
      <c r="C15">
        <f t="shared" si="1"/>
        <v>121.10246896761394</v>
      </c>
      <c r="D15">
        <f t="shared" si="0"/>
        <v>-50.030369271135257</v>
      </c>
      <c r="P15" s="21" t="s">
        <v>46</v>
      </c>
      <c r="Q15" s="21">
        <v>3.01</v>
      </c>
      <c r="R15" s="21"/>
      <c r="S15" s="21">
        <f>Q15/$I$12</f>
        <v>4.5279430879641307</v>
      </c>
      <c r="T15" s="21"/>
      <c r="U15" s="21">
        <f>ROUND(S15,0)</f>
        <v>5</v>
      </c>
    </row>
    <row r="16" spans="2:21">
      <c r="B16" s="3">
        <v>120</v>
      </c>
      <c r="C16">
        <f t="shared" si="1"/>
        <v>122.57924592717167</v>
      </c>
      <c r="D16">
        <f t="shared" si="0"/>
        <v>-51.507146230692982</v>
      </c>
      <c r="P16" s="18" t="s">
        <v>47</v>
      </c>
      <c r="Q16" s="18">
        <f>SUM(Q17)</f>
        <v>5.94</v>
      </c>
      <c r="R16" s="18"/>
      <c r="S16" s="18">
        <f>SUM(U17)</f>
        <v>9</v>
      </c>
      <c r="T16" s="18"/>
      <c r="U16" s="25"/>
    </row>
    <row r="17" spans="2:21">
      <c r="B17" s="3">
        <v>130</v>
      </c>
      <c r="C17">
        <f t="shared" si="1"/>
        <v>123.93774903978171</v>
      </c>
      <c r="D17">
        <f t="shared" si="0"/>
        <v>-52.865649343303019</v>
      </c>
      <c r="P17" s="21" t="s">
        <v>48</v>
      </c>
      <c r="Q17" s="21">
        <v>5.94</v>
      </c>
      <c r="R17" s="21"/>
      <c r="S17" s="21">
        <f>Q17/$I$12</f>
        <v>8.9355421735903455</v>
      </c>
      <c r="T17" s="21"/>
      <c r="U17" s="21">
        <f>ROUND(S17,0)</f>
        <v>9</v>
      </c>
    </row>
    <row r="18" spans="2:21">
      <c r="B18" s="3">
        <v>140</v>
      </c>
      <c r="C18">
        <f t="shared" si="1"/>
        <v>125.19552646593606</v>
      </c>
      <c r="D18">
        <f t="shared" si="0"/>
        <v>-54.123426769457367</v>
      </c>
      <c r="P18" s="3"/>
      <c r="Q18" s="3"/>
      <c r="R18" s="3"/>
      <c r="S18" s="3"/>
      <c r="T18" s="3"/>
      <c r="U18" s="3"/>
    </row>
    <row r="19" spans="2:21">
      <c r="B19" s="3">
        <v>150</v>
      </c>
      <c r="C19">
        <f t="shared" si="1"/>
        <v>126.36648923552654</v>
      </c>
      <c r="D19">
        <f t="shared" si="0"/>
        <v>-55.294389539047856</v>
      </c>
      <c r="P19" s="16" t="s">
        <v>29</v>
      </c>
      <c r="Q19" s="16">
        <v>146</v>
      </c>
      <c r="R19" s="16"/>
      <c r="S19" s="16">
        <f>SUM(S20)</f>
        <v>29</v>
      </c>
      <c r="T19" s="16"/>
      <c r="U19" s="16"/>
    </row>
    <row r="20" spans="2:21">
      <c r="B20" s="3">
        <v>160</v>
      </c>
      <c r="C20">
        <f t="shared" si="1"/>
        <v>127.46185175382404</v>
      </c>
      <c r="D20">
        <f t="shared" si="0"/>
        <v>-56.389752057345348</v>
      </c>
      <c r="P20" s="18" t="s">
        <v>9</v>
      </c>
      <c r="Q20" s="25">
        <f>SUM(Q21:Q23)</f>
        <v>19.200000000000003</v>
      </c>
      <c r="R20" s="18"/>
      <c r="S20" s="18">
        <f>SUM(U21:U23)</f>
        <v>29</v>
      </c>
      <c r="T20" s="18"/>
      <c r="U20" s="25"/>
    </row>
    <row r="21" spans="2:21">
      <c r="B21" s="3">
        <v>170</v>
      </c>
      <c r="C21">
        <f t="shared" si="1"/>
        <v>128.49078667909347</v>
      </c>
      <c r="D21">
        <f t="shared" si="0"/>
        <v>-57.418686982614787</v>
      </c>
      <c r="P21" s="21" t="s">
        <v>49</v>
      </c>
      <c r="Q21" s="21">
        <v>2.85</v>
      </c>
      <c r="R21" s="21"/>
      <c r="S21" s="21">
        <f>Q21/$I$12</f>
        <v>4.2872550832882963</v>
      </c>
      <c r="T21" s="21"/>
      <c r="U21" s="21">
        <f>ROUND(S21,0)</f>
        <v>4</v>
      </c>
    </row>
    <row r="22" spans="2:21">
      <c r="B22" s="3">
        <v>180</v>
      </c>
      <c r="C22">
        <f t="shared" si="1"/>
        <v>129.46089233106773</v>
      </c>
      <c r="D22">
        <f t="shared" si="0"/>
        <v>-58.388792634589038</v>
      </c>
      <c r="P22" s="21" t="s">
        <v>50</v>
      </c>
      <c r="Q22" s="21">
        <v>14.02</v>
      </c>
      <c r="R22" s="21"/>
      <c r="S22" s="21">
        <f>Q22/$I$12</f>
        <v>21.090286409719969</v>
      </c>
      <c r="T22" s="21"/>
      <c r="U22" s="21">
        <f>ROUND(S22,0)</f>
        <v>21</v>
      </c>
    </row>
    <row r="23" spans="2:21">
      <c r="B23" s="3">
        <v>190</v>
      </c>
      <c r="C23">
        <f t="shared" si="1"/>
        <v>130.37853355686707</v>
      </c>
      <c r="D23">
        <f t="shared" si="0"/>
        <v>-59.306433860388381</v>
      </c>
      <c r="P23" s="21" t="s">
        <v>51</v>
      </c>
      <c r="Q23" s="21">
        <v>2.33</v>
      </c>
      <c r="R23" s="21"/>
      <c r="S23" s="21">
        <f>Q23/$I$12</f>
        <v>3.5050190680918356</v>
      </c>
      <c r="T23" s="21"/>
      <c r="U23" s="21">
        <f>ROUND(S23,0)</f>
        <v>4</v>
      </c>
    </row>
    <row r="24" spans="2:21">
      <c r="B24" s="3">
        <v>200</v>
      </c>
      <c r="C24">
        <f t="shared" si="1"/>
        <v>131.24909506217892</v>
      </c>
      <c r="D24">
        <f t="shared" si="0"/>
        <v>-60.176995365700236</v>
      </c>
      <c r="P24" s="3"/>
      <c r="Q24" s="3"/>
      <c r="R24" s="3"/>
      <c r="S24" s="3"/>
      <c r="T24" s="3"/>
      <c r="U24" s="3"/>
    </row>
    <row r="25" spans="2:21">
      <c r="B25" s="4">
        <v>210</v>
      </c>
      <c r="C25" s="6">
        <f t="shared" si="1"/>
        <v>132.07717286983208</v>
      </c>
      <c r="D25" s="6">
        <f t="shared" si="0"/>
        <v>-61.005073173353395</v>
      </c>
      <c r="P25" s="16" t="s">
        <v>34</v>
      </c>
      <c r="Q25" s="16">
        <v>489</v>
      </c>
      <c r="R25" s="16"/>
      <c r="S25" s="16">
        <f>SUM(S26+S30)</f>
        <v>64</v>
      </c>
      <c r="T25" s="16"/>
      <c r="U25" s="16"/>
    </row>
    <row r="26" spans="2:21">
      <c r="B26" s="3">
        <v>220</v>
      </c>
      <c r="C26">
        <f t="shared" si="1"/>
        <v>132.86672119816234</v>
      </c>
      <c r="D26">
        <f t="shared" si="0"/>
        <v>-61.79462150168365</v>
      </c>
      <c r="P26" s="18" t="s">
        <v>9</v>
      </c>
      <c r="Q26" s="18">
        <f>SUM(Q27:Q29)</f>
        <v>40.989999999999995</v>
      </c>
      <c r="R26" s="18"/>
      <c r="S26" s="18">
        <f>SUM(U27:U29)</f>
        <v>62</v>
      </c>
      <c r="T26" s="18"/>
      <c r="U26" s="25"/>
    </row>
    <row r="27" spans="2:21">
      <c r="B27" s="3">
        <v>230</v>
      </c>
      <c r="C27">
        <f t="shared" si="1"/>
        <v>133.62116666319807</v>
      </c>
      <c r="D27">
        <f t="shared" si="0"/>
        <v>-62.54906696671938</v>
      </c>
      <c r="P27" s="21" t="s">
        <v>52</v>
      </c>
      <c r="Q27" s="21">
        <v>5.0199999999999996</v>
      </c>
      <c r="R27" s="21"/>
      <c r="S27" s="21">
        <f>Q27/$I$12</f>
        <v>7.5515861467042971</v>
      </c>
      <c r="T27" s="21"/>
      <c r="U27" s="21">
        <f>ROUND(S27,0)</f>
        <v>8</v>
      </c>
    </row>
    <row r="28" spans="2:21">
      <c r="B28" s="3">
        <v>240</v>
      </c>
      <c r="C28">
        <f t="shared" si="1"/>
        <v>134.34349815772009</v>
      </c>
      <c r="D28">
        <f t="shared" si="0"/>
        <v>-63.271398461241404</v>
      </c>
      <c r="P28" s="21" t="s">
        <v>53</v>
      </c>
      <c r="Q28" s="21">
        <v>31.74</v>
      </c>
      <c r="R28" s="21"/>
      <c r="S28" s="21">
        <f>Q28/$I$12</f>
        <v>47.746482927568607</v>
      </c>
      <c r="T28" s="21"/>
      <c r="U28" s="21">
        <f>ROUND(S28,0)</f>
        <v>48</v>
      </c>
    </row>
    <row r="29" spans="2:21">
      <c r="B29" s="4">
        <v>250</v>
      </c>
      <c r="C29">
        <f t="shared" si="1"/>
        <v>135.03633837053374</v>
      </c>
      <c r="D29">
        <f t="shared" si="0"/>
        <v>-63.964238674055053</v>
      </c>
      <c r="P29" s="21" t="s">
        <v>54</v>
      </c>
      <c r="Q29" s="21">
        <v>4.2300000000000004</v>
      </c>
      <c r="R29" s="21"/>
      <c r="S29" s="21">
        <f>Q29/$I$12</f>
        <v>6.3631891236173672</v>
      </c>
      <c r="T29" s="21"/>
      <c r="U29" s="21">
        <f>ROUND(S29,0)</f>
        <v>6</v>
      </c>
    </row>
    <row r="30" spans="2:21">
      <c r="B30" s="3">
        <v>260</v>
      </c>
      <c r="C30">
        <f t="shared" si="1"/>
        <v>135.70200127033007</v>
      </c>
      <c r="D30">
        <f t="shared" si="0"/>
        <v>-64.629901573851384</v>
      </c>
      <c r="P30" s="18" t="s">
        <v>36</v>
      </c>
      <c r="Q30" s="18">
        <f>SUM(Q31)</f>
        <v>1.61</v>
      </c>
      <c r="R30" s="18"/>
      <c r="S30" s="18">
        <f>SUM(U31)</f>
        <v>2</v>
      </c>
      <c r="T30" s="18"/>
      <c r="U30" s="18"/>
    </row>
    <row r="31" spans="2:21">
      <c r="B31" s="3">
        <v>270</v>
      </c>
      <c r="C31">
        <f t="shared" si="1"/>
        <v>136.34253873496374</v>
      </c>
      <c r="D31">
        <f t="shared" si="0"/>
        <v>-65.270439038485051</v>
      </c>
      <c r="P31" s="21" t="s">
        <v>36</v>
      </c>
      <c r="Q31" s="21">
        <v>1.61</v>
      </c>
      <c r="R31" s="21"/>
      <c r="S31" s="21">
        <f>Q31/$I$12</f>
        <v>2.4219230470505817</v>
      </c>
      <c r="T31" s="21"/>
      <c r="U31" s="21">
        <f>ROUND(S31,0)</f>
        <v>2</v>
      </c>
    </row>
    <row r="32" spans="2:21">
      <c r="B32" s="3">
        <v>280</v>
      </c>
      <c r="C32">
        <f xml:space="preserve"> 13.54 + 39.08 *LOG10(B32) + 20*LOG10($I$5) - 0.6 *LOG10($I$7 - 1.5)</f>
        <v>136.95977869648445</v>
      </c>
      <c r="D32">
        <f t="shared" ref="D32:D63" si="3">($L$4+10*LOG10($I$8))-C32</f>
        <v>-65.887679000005761</v>
      </c>
    </row>
    <row r="33" spans="2:4">
      <c r="B33" s="3">
        <v>290</v>
      </c>
      <c r="C33">
        <f xml:space="preserve"> 13.54 + 39.08 *LOG10(B33) + 20*LOG10($I$5) - 0.6 *LOG10($I$7 - 1.5)</f>
        <v>137.55535658952172</v>
      </c>
      <c r="D33">
        <f t="shared" si="3"/>
        <v>-66.483256893043034</v>
      </c>
    </row>
    <row r="34" spans="2:4">
      <c r="B34" s="4">
        <v>300</v>
      </c>
      <c r="C34">
        <f xml:space="preserve"> 13.54 + 39.08 *LOG10(B34) + 20*LOG10($I$5) - 0.6 *LOG10($I$7 - 1.5)</f>
        <v>138.13074146607494</v>
      </c>
      <c r="D34">
        <f t="shared" si="3"/>
        <v>-67.05864176959625</v>
      </c>
    </row>
    <row r="35" spans="2:4">
      <c r="B35" s="3">
        <v>310</v>
      </c>
      <c r="C35">
        <f xml:space="preserve"> 13.54 + 39.08 *LOG10(B35) + 20*LOG10($I$5) - 0.6 *LOG10($I$7 - 1.5)</f>
        <v>138.68725782667389</v>
      </c>
      <c r="D35">
        <f t="shared" si="3"/>
        <v>-67.615158130195198</v>
      </c>
    </row>
    <row r="36" spans="2:4">
      <c r="B36" s="3">
        <v>320</v>
      </c>
      <c r="C36">
        <f xml:space="preserve"> 13.54 + 39.08 *LOG10(B36) + 20*LOG10($I$5) - 0.6 *LOG10($I$7 - 1.5)</f>
        <v>139.22610398437243</v>
      </c>
      <c r="D36">
        <f t="shared" si="3"/>
        <v>-68.154004287893741</v>
      </c>
    </row>
    <row r="37" spans="2:4">
      <c r="B37" s="3">
        <v>330</v>
      </c>
      <c r="C37">
        <f xml:space="preserve"> 13.54 + 39.08 *LOG10(B37) + 20*LOG10($I$5) - 0.6 *LOG10($I$7 - 1.5)</f>
        <v>139.74836760205838</v>
      </c>
      <c r="D37">
        <f t="shared" si="3"/>
        <v>-68.676267905579692</v>
      </c>
    </row>
    <row r="38" spans="2:4">
      <c r="B38" s="3">
        <v>340</v>
      </c>
      <c r="C38">
        <f xml:space="preserve"> 13.54 + 39.08 *LOG10(B38) + 20*LOG10($I$5) - 0.6 *LOG10($I$7 - 1.5)</f>
        <v>140.25503890964185</v>
      </c>
      <c r="D38">
        <f t="shared" si="3"/>
        <v>-69.182939213163166</v>
      </c>
    </row>
    <row r="39" spans="2:4">
      <c r="B39" s="3">
        <v>350</v>
      </c>
      <c r="C39">
        <f xml:space="preserve"> 13.54 + 39.08 *LOG10(B39) + 20*LOG10($I$5) - 0.6 *LOG10($I$7 - 1.5)</f>
        <v>140.74702200483929</v>
      </c>
      <c r="D39">
        <f t="shared" si="3"/>
        <v>-69.674922308360607</v>
      </c>
    </row>
    <row r="40" spans="2:4">
      <c r="B40" s="3">
        <v>360</v>
      </c>
      <c r="C40">
        <f xml:space="preserve"> 13.54 + 39.08 *LOG10(B40) + 20*LOG10($I$5) - 0.6 *LOG10($I$7 - 1.5)</f>
        <v>141.2251445616161</v>
      </c>
      <c r="D40">
        <f t="shared" si="3"/>
        <v>-70.153044865137417</v>
      </c>
    </row>
    <row r="41" spans="2:4">
      <c r="B41" s="3">
        <v>370</v>
      </c>
      <c r="C41">
        <f xml:space="preserve"> 13.54 + 39.08 *LOG10(B41) + 20*LOG10($I$5) - 0.6 *LOG10($I$7 - 1.5)</f>
        <v>141.69016620816868</v>
      </c>
      <c r="D41">
        <f t="shared" si="3"/>
        <v>-70.618066511689989</v>
      </c>
    </row>
    <row r="42" spans="2:4">
      <c r="B42" s="3">
        <v>380</v>
      </c>
      <c r="C42">
        <f xml:space="preserve"> 13.54 + 39.08 *LOG10(B42) + 20*LOG10($I$5) - 0.6 *LOG10($I$7 - 1.5)</f>
        <v>142.14278578741545</v>
      </c>
      <c r="D42">
        <f t="shared" si="3"/>
        <v>-71.070686090936761</v>
      </c>
    </row>
    <row r="43" spans="2:4">
      <c r="B43" s="4">
        <v>390</v>
      </c>
      <c r="C43" s="6">
        <f xml:space="preserve"> 13.54 + 39.08 *LOG10(B43) + 20*LOG10($I$5) - 0.6 *LOG10($I$7 - 1.5)</f>
        <v>142.58364767422611</v>
      </c>
      <c r="D43" s="6">
        <f t="shared" si="3"/>
        <v>-71.511547977747426</v>
      </c>
    </row>
    <row r="44" spans="2:4">
      <c r="B44" s="4">
        <v>400</v>
      </c>
      <c r="C44" s="6">
        <f xml:space="preserve"> 13.54 + 39.08 *LOG10(B44) + 20*LOG10($I$5) - 0.6 *LOG10($I$7 - 1.5)</f>
        <v>143.0133472927273</v>
      </c>
      <c r="D44" s="6">
        <f t="shared" si="3"/>
        <v>-71.941247596248616</v>
      </c>
    </row>
    <row r="45" spans="2:4">
      <c r="B45" s="3">
        <v>410</v>
      </c>
      <c r="C45">
        <f xml:space="preserve"> 13.54 + 39.08 *LOG10(B45) + 20*LOG10($I$5) - 0.6 *LOG10($I$7 - 1.5)</f>
        <v>143.4324359522378</v>
      </c>
      <c r="D45">
        <f t="shared" si="3"/>
        <v>-72.360336255759108</v>
      </c>
    </row>
    <row r="46" spans="2:4">
      <c r="B46" s="3">
        <v>420</v>
      </c>
      <c r="C46">
        <f xml:space="preserve"> 13.54 + 39.08 *LOG10(B46) + 20*LOG10($I$5) - 0.6 *LOG10($I$7 - 1.5)</f>
        <v>143.84142510038046</v>
      </c>
      <c r="D46">
        <f t="shared" si="3"/>
        <v>-72.769325403901775</v>
      </c>
    </row>
    <row r="47" spans="2:4">
      <c r="B47" s="3">
        <v>430</v>
      </c>
      <c r="C47">
        <f xml:space="preserve"> 13.54 + 39.08 *LOG10(B47) + 20*LOG10($I$5) - 0.6 *LOG10($I$7 - 1.5)</f>
        <v>144.24079007568076</v>
      </c>
      <c r="D47">
        <f t="shared" si="3"/>
        <v>-73.168690379202076</v>
      </c>
    </row>
    <row r="48" spans="2:4">
      <c r="B48" s="3">
        <v>440</v>
      </c>
      <c r="C48">
        <f xml:space="preserve"> 13.54 + 39.08 *LOG10(B48) + 20*LOG10($I$5) - 0.6 *LOG10($I$7 - 1.5)</f>
        <v>144.63097342871072</v>
      </c>
      <c r="D48">
        <f t="shared" si="3"/>
        <v>-73.55887373223203</v>
      </c>
    </row>
    <row r="49" spans="2:4">
      <c r="B49" s="4">
        <v>450</v>
      </c>
      <c r="C49" s="6">
        <f xml:space="preserve"> 13.54 + 39.08 *LOG10(B49) + 20*LOG10($I$5) - 0.6 *LOG10($I$7 - 1.5)</f>
        <v>145.01238786997095</v>
      </c>
      <c r="D49" s="6">
        <f t="shared" si="3"/>
        <v>-73.940288173492263</v>
      </c>
    </row>
    <row r="50" spans="2:4">
      <c r="B50" s="5">
        <v>460</v>
      </c>
      <c r="C50" s="7">
        <f xml:space="preserve"> 13.54 + 39.08 *LOG10(B50) + 20*LOG10($I$5) - 0.6 *LOG10($I$7 - 1.5)</f>
        <v>145.38541889374642</v>
      </c>
      <c r="D50" s="7">
        <f t="shared" si="3"/>
        <v>-74.313319197267731</v>
      </c>
    </row>
    <row r="51" spans="2:4">
      <c r="B51" s="4">
        <v>470</v>
      </c>
      <c r="C51" s="6">
        <f xml:space="preserve"> 13.54 + 39.08 *LOG10(B51) + 20*LOG10($I$5) - 0.6 *LOG10($I$7 - 1.5)</f>
        <v>145.75042711975837</v>
      </c>
      <c r="D51" s="6">
        <f t="shared" si="3"/>
        <v>-74.678327423279683</v>
      </c>
    </row>
    <row r="52" spans="2:4">
      <c r="B52" s="4">
        <v>480</v>
      </c>
      <c r="C52">
        <f xml:space="preserve"> 13.54 + 39.08 *LOG10(B52) + 20*LOG10($I$5) - 0.6 *LOG10($I$7 - 1.5)</f>
        <v>146.10775038826847</v>
      </c>
      <c r="D52">
        <f t="shared" si="3"/>
        <v>-75.035650691789783</v>
      </c>
    </row>
    <row r="53" spans="2:4">
      <c r="B53" s="3">
        <v>490</v>
      </c>
      <c r="C53">
        <f xml:space="preserve"> 13.54 + 39.08 *LOG10(B53) + 20*LOG10($I$5) - 0.6 *LOG10($I$7 - 1.5)</f>
        <v>146.45770563914485</v>
      </c>
      <c r="D53">
        <f t="shared" si="3"/>
        <v>-75.38560594266616</v>
      </c>
    </row>
    <row r="54" spans="2:4">
      <c r="B54" s="3">
        <v>500</v>
      </c>
      <c r="C54">
        <f xml:space="preserve"> 13.54 + 39.08 *LOG10(B54) + 20*LOG10($I$5) - 0.6 *LOG10($I$7 - 1.5)</f>
        <v>146.80059060108212</v>
      </c>
      <c r="D54">
        <f t="shared" si="3"/>
        <v>-75.728490904603433</v>
      </c>
    </row>
    <row r="55" spans="2:4">
      <c r="B55" s="3">
        <v>510</v>
      </c>
      <c r="C55">
        <f xml:space="preserve"> 13.54 + 39.08 *LOG10(B55) + 20*LOG10($I$5) - 0.6 *LOG10($I$7 - 1.5)</f>
        <v>147.13668531353787</v>
      </c>
      <c r="D55">
        <f t="shared" si="3"/>
        <v>-76.06458561705918</v>
      </c>
    </row>
    <row r="56" spans="2:4">
      <c r="B56" s="3">
        <v>520</v>
      </c>
      <c r="C56">
        <f xml:space="preserve"> 13.54 + 39.08 *LOG10(B56) + 20*LOG10($I$5) - 0.6 *LOG10($I$7 - 1.5)</f>
        <v>147.46625350087848</v>
      </c>
      <c r="D56">
        <f t="shared" si="3"/>
        <v>-76.394153804399792</v>
      </c>
    </row>
    <row r="57" spans="2:4">
      <c r="B57" s="3">
        <v>530</v>
      </c>
      <c r="C57">
        <f xml:space="preserve"> 13.54 + 39.08 *LOG10(B57) + 20*LOG10($I$5) - 0.6 *LOG10($I$7 - 1.5)</f>
        <v>147.78954381562937</v>
      </c>
      <c r="D57">
        <f t="shared" si="3"/>
        <v>-76.717444119150684</v>
      </c>
    </row>
    <row r="58" spans="2:4">
      <c r="B58" s="3">
        <v>540</v>
      </c>
      <c r="C58">
        <f xml:space="preserve"> 13.54 + 39.08 *LOG10(B58) + 20*LOG10($I$5) - 0.6 *LOG10($I$7 - 1.5)</f>
        <v>148.10679096551215</v>
      </c>
      <c r="D58">
        <f t="shared" si="3"/>
        <v>-77.034691269033459</v>
      </c>
    </row>
    <row r="59" spans="2:4">
      <c r="B59" s="3">
        <v>550</v>
      </c>
      <c r="C59">
        <f xml:space="preserve"> 13.54 + 39.08 *LOG10(B59) + 20*LOG10($I$5) - 0.6 *LOG10($I$7 - 1.5)</f>
        <v>148.41821673706556</v>
      </c>
      <c r="D59">
        <f t="shared" si="3"/>
        <v>-77.346117040586876</v>
      </c>
    </row>
    <row r="60" spans="2:4">
      <c r="B60" s="3">
        <v>560</v>
      </c>
      <c r="C60">
        <f xml:space="preserve"> 13.54 + 39.08 *LOG10(B60) + 20*LOG10($I$5) - 0.6 *LOG10($I$7 - 1.5)</f>
        <v>148.72403092703283</v>
      </c>
      <c r="D60">
        <f t="shared" si="3"/>
        <v>-77.65193123055414</v>
      </c>
    </row>
    <row r="61" spans="2:4">
      <c r="B61" s="3">
        <v>570</v>
      </c>
      <c r="C61">
        <f xml:space="preserve"> 13.54 + 39.08 *LOG10(B61) + 20*LOG10($I$5) - 0.6 *LOG10($I$7 - 1.5)</f>
        <v>149.02443219131149</v>
      </c>
      <c r="D61">
        <f t="shared" si="3"/>
        <v>-77.952332494832802</v>
      </c>
    </row>
    <row r="62" spans="2:4">
      <c r="B62" s="3">
        <v>580</v>
      </c>
      <c r="C62">
        <f xml:space="preserve"> 13.54 + 39.08 *LOG10(B62) + 20*LOG10($I$5) - 0.6 *LOG10($I$7 - 1.5)</f>
        <v>149.3196088200701</v>
      </c>
      <c r="D62">
        <f t="shared" si="3"/>
        <v>-78.247509123591414</v>
      </c>
    </row>
    <row r="63" spans="2:4">
      <c r="B63" s="3">
        <v>590</v>
      </c>
      <c r="C63">
        <f xml:space="preserve"> 13.54 + 39.08 *LOG10(B63) + 20*LOG10($I$5) - 0.6 *LOG10($I$7 - 1.5)</f>
        <v>149.60973944660552</v>
      </c>
      <c r="D63">
        <f t="shared" si="3"/>
        <v>-78.537639750126829</v>
      </c>
    </row>
    <row r="64" spans="2:4">
      <c r="B64" s="3">
        <v>600</v>
      </c>
      <c r="C64">
        <f xml:space="preserve"> 13.54 + 39.08 *LOG10(B64) + 20*LOG10($I$5) - 0.6 *LOG10($I$7 - 1.5)</f>
        <v>149.89499369662332</v>
      </c>
      <c r="D64">
        <f t="shared" ref="D64:D95" si="4">($L$4+10*LOG10($I$8))-C64</f>
        <v>-78.822894000144629</v>
      </c>
    </row>
    <row r="65" spans="2:4">
      <c r="B65" s="3">
        <v>610</v>
      </c>
      <c r="C65">
        <f xml:space="preserve"> 13.54 + 39.08 *LOG10(B65) + 20*LOG10($I$5) - 0.6 *LOG10($I$7 - 1.5)</f>
        <v>150.17553278385131</v>
      </c>
      <c r="D65">
        <f t="shared" si="4"/>
        <v>-79.103433087372622</v>
      </c>
    </row>
    <row r="66" spans="2:4">
      <c r="B66" s="3">
        <v>620</v>
      </c>
      <c r="C66">
        <f xml:space="preserve"> 13.54 + 39.08 *LOG10(B66) + 20*LOG10($I$5) - 0.6 *LOG10($I$7 - 1.5)</f>
        <v>150.45151005722229</v>
      </c>
      <c r="D66">
        <f t="shared" si="4"/>
        <v>-79.379410360743606</v>
      </c>
    </row>
    <row r="67" spans="2:4">
      <c r="B67" s="3">
        <v>630</v>
      </c>
      <c r="C67">
        <f xml:space="preserve"> 13.54 + 39.08 *LOG10(B67) + 20*LOG10($I$5) - 0.6 *LOG10($I$7 - 1.5)</f>
        <v>150.7230715042765</v>
      </c>
      <c r="D67">
        <f t="shared" si="4"/>
        <v>-79.650971807797816</v>
      </c>
    </row>
    <row r="68" spans="2:4">
      <c r="B68" s="3">
        <v>640</v>
      </c>
      <c r="C68">
        <f xml:space="preserve"> 13.54 + 39.08 *LOG10(B68) + 20*LOG10($I$5) - 0.6 *LOG10($I$7 - 1.5)</f>
        <v>150.99035621492084</v>
      </c>
      <c r="D68">
        <f t="shared" si="4"/>
        <v>-79.918256518442149</v>
      </c>
    </row>
    <row r="69" spans="2:4">
      <c r="B69" s="3">
        <v>650</v>
      </c>
      <c r="C69">
        <f xml:space="preserve"> 13.54 + 39.08 *LOG10(B69) + 20*LOG10($I$5) - 0.6 *LOG10($I$7 - 1.5)</f>
        <v>151.25349680923333</v>
      </c>
      <c r="D69">
        <f t="shared" si="4"/>
        <v>-80.181397112754638</v>
      </c>
    </row>
    <row r="70" spans="2:4">
      <c r="B70" s="3">
        <v>660</v>
      </c>
      <c r="C70">
        <f t="shared" ref="C70:C104" si="5" xml:space="preserve"> 13.54 + 39.08 *LOG10(B70) + 20*LOG10($I$5) - 0.6 *LOG10($I$7 - 1.5)</f>
        <v>151.51261983260676</v>
      </c>
      <c r="D70">
        <f t="shared" si="4"/>
        <v>-80.440520136128072</v>
      </c>
    </row>
    <row r="71" spans="2:4">
      <c r="B71" s="3">
        <v>670</v>
      </c>
      <c r="C71">
        <f t="shared" si="5"/>
        <v>151.76784612117882</v>
      </c>
      <c r="D71">
        <f t="shared" si="4"/>
        <v>-80.695746424700133</v>
      </c>
    </row>
    <row r="72" spans="2:4">
      <c r="B72" s="4">
        <v>680</v>
      </c>
      <c r="C72">
        <f t="shared" si="5"/>
        <v>152.01929114019023</v>
      </c>
      <c r="D72">
        <f t="shared" si="4"/>
        <v>-80.947191443711546</v>
      </c>
    </row>
    <row r="73" spans="2:4">
      <c r="B73" s="3">
        <v>690</v>
      </c>
      <c r="C73">
        <f t="shared" si="5"/>
        <v>152.26706529764246</v>
      </c>
      <c r="D73">
        <f t="shared" si="4"/>
        <v>-81.194965601163773</v>
      </c>
    </row>
    <row r="74" spans="2:4">
      <c r="B74" s="3">
        <v>700</v>
      </c>
      <c r="C74">
        <f t="shared" si="5"/>
        <v>152.51127423538767</v>
      </c>
      <c r="D74">
        <f t="shared" si="4"/>
        <v>-81.439174538908986</v>
      </c>
    </row>
    <row r="75" spans="2:4">
      <c r="B75" s="4">
        <v>710</v>
      </c>
      <c r="C75">
        <f t="shared" si="5"/>
        <v>152.75201909957198</v>
      </c>
      <c r="D75">
        <f t="shared" si="4"/>
        <v>-81.679919403093294</v>
      </c>
    </row>
    <row r="76" spans="2:4">
      <c r="B76" s="3">
        <v>720</v>
      </c>
      <c r="C76">
        <f t="shared" si="5"/>
        <v>152.98939679216448</v>
      </c>
      <c r="D76">
        <f t="shared" si="4"/>
        <v>-81.917297095685797</v>
      </c>
    </row>
    <row r="77" spans="2:4">
      <c r="B77" s="3">
        <v>730</v>
      </c>
      <c r="C77">
        <f t="shared" si="5"/>
        <v>153.22350020513792</v>
      </c>
      <c r="D77">
        <f t="shared" si="4"/>
        <v>-82.151400508659236</v>
      </c>
    </row>
    <row r="78" spans="2:4">
      <c r="B78" s="3">
        <v>740</v>
      </c>
      <c r="C78">
        <f t="shared" si="5"/>
        <v>153.45441843871708</v>
      </c>
      <c r="D78">
        <f t="shared" si="4"/>
        <v>-82.382318742238397</v>
      </c>
    </row>
    <row r="79" spans="2:4">
      <c r="B79" s="3">
        <v>750</v>
      </c>
      <c r="C79">
        <f t="shared" si="5"/>
        <v>153.68223700497816</v>
      </c>
      <c r="D79">
        <f t="shared" si="4"/>
        <v>-82.610137308499475</v>
      </c>
    </row>
    <row r="80" spans="2:4">
      <c r="B80" s="4">
        <v>760</v>
      </c>
      <c r="C80">
        <f t="shared" si="5"/>
        <v>153.90703801796386</v>
      </c>
      <c r="D80">
        <f t="shared" si="4"/>
        <v>-82.834938321485168</v>
      </c>
    </row>
    <row r="81" spans="2:4">
      <c r="B81" s="3">
        <v>770</v>
      </c>
      <c r="C81">
        <f t="shared" si="5"/>
        <v>154.12890037137112</v>
      </c>
      <c r="D81">
        <f t="shared" si="4"/>
        <v>-83.056800674892429</v>
      </c>
    </row>
    <row r="82" spans="2:4">
      <c r="B82" s="3">
        <v>780</v>
      </c>
      <c r="C82">
        <f t="shared" si="5"/>
        <v>154.34789990477449</v>
      </c>
      <c r="D82">
        <f t="shared" si="4"/>
        <v>-83.275800208295806</v>
      </c>
    </row>
    <row r="83" spans="2:4">
      <c r="B83" s="3">
        <v>790</v>
      </c>
      <c r="C83">
        <f t="shared" si="5"/>
        <v>154.56410955926097</v>
      </c>
      <c r="D83">
        <f t="shared" si="4"/>
        <v>-83.492009862782282</v>
      </c>
    </row>
    <row r="84" spans="2:4">
      <c r="B84" s="3">
        <v>800</v>
      </c>
      <c r="C84">
        <f t="shared" si="5"/>
        <v>154.77759952327568</v>
      </c>
      <c r="D84">
        <f t="shared" si="4"/>
        <v>-83.705499826796995</v>
      </c>
    </row>
    <row r="85" spans="2:4">
      <c r="B85" s="3">
        <v>810</v>
      </c>
      <c r="C85">
        <f t="shared" si="5"/>
        <v>154.98843736940816</v>
      </c>
      <c r="D85">
        <f t="shared" si="4"/>
        <v>-83.916337672929473</v>
      </c>
    </row>
    <row r="86" spans="2:4">
      <c r="B86" s="3">
        <v>820</v>
      </c>
      <c r="C86">
        <f t="shared" si="5"/>
        <v>155.19668818278618</v>
      </c>
      <c r="D86">
        <f t="shared" si="4"/>
        <v>-84.124588486307488</v>
      </c>
    </row>
    <row r="87" spans="2:4">
      <c r="B87" s="3">
        <v>830</v>
      </c>
      <c r="C87">
        <f t="shared" si="5"/>
        <v>155.40241468168747</v>
      </c>
      <c r="D87">
        <f t="shared" si="4"/>
        <v>-84.330314985208787</v>
      </c>
    </row>
    <row r="88" spans="2:4">
      <c r="B88" s="3">
        <v>840</v>
      </c>
      <c r="C88">
        <f t="shared" si="5"/>
        <v>155.60567733092884</v>
      </c>
      <c r="D88">
        <f t="shared" si="4"/>
        <v>-84.533577634450154</v>
      </c>
    </row>
    <row r="89" spans="2:4">
      <c r="B89" s="3">
        <v>850</v>
      </c>
      <c r="C89">
        <f t="shared" si="5"/>
        <v>155.80653444854508</v>
      </c>
      <c r="D89">
        <f t="shared" si="4"/>
        <v>-84.734434752066392</v>
      </c>
    </row>
    <row r="90" spans="2:4">
      <c r="B90" s="3">
        <v>860</v>
      </c>
      <c r="C90">
        <f t="shared" si="5"/>
        <v>156.00504230622914</v>
      </c>
      <c r="D90">
        <f t="shared" si="4"/>
        <v>-84.932942609750455</v>
      </c>
    </row>
    <row r="91" spans="2:4">
      <c r="B91" s="3">
        <v>870</v>
      </c>
      <c r="C91">
        <f t="shared" si="5"/>
        <v>156.20125522396614</v>
      </c>
      <c r="D91">
        <f t="shared" si="4"/>
        <v>-85.129155527487455</v>
      </c>
    </row>
    <row r="92" spans="2:4">
      <c r="B92" s="3">
        <v>880</v>
      </c>
      <c r="C92">
        <f t="shared" si="5"/>
        <v>156.39522565925913</v>
      </c>
      <c r="D92">
        <f t="shared" si="4"/>
        <v>-85.323125962780438</v>
      </c>
    </row>
    <row r="93" spans="2:4">
      <c r="B93" s="3">
        <v>890</v>
      </c>
      <c r="C93">
        <f t="shared" si="5"/>
        <v>156.58700429131372</v>
      </c>
      <c r="D93">
        <f t="shared" si="4"/>
        <v>-85.514904594835031</v>
      </c>
    </row>
    <row r="94" spans="2:4">
      <c r="B94" s="3">
        <v>900</v>
      </c>
      <c r="C94">
        <f t="shared" si="5"/>
        <v>156.77664010051933</v>
      </c>
      <c r="D94">
        <f t="shared" si="4"/>
        <v>-85.704540404040642</v>
      </c>
    </row>
    <row r="95" spans="2:4">
      <c r="B95" s="3">
        <v>910</v>
      </c>
      <c r="C95">
        <f t="shared" si="5"/>
        <v>156.96418044353885</v>
      </c>
      <c r="D95">
        <f t="shared" si="4"/>
        <v>-85.892080747060163</v>
      </c>
    </row>
    <row r="96" spans="2:4">
      <c r="B96" s="3">
        <v>920</v>
      </c>
      <c r="C96">
        <f t="shared" si="5"/>
        <v>157.14967112429483</v>
      </c>
      <c r="D96">
        <f>($L$4+10*LOG10($I$8))-C96</f>
        <v>-86.077571427816139</v>
      </c>
    </row>
    <row r="97" spans="2:4">
      <c r="B97" s="3">
        <v>930</v>
      </c>
      <c r="C97">
        <f t="shared" si="5"/>
        <v>157.33315646111831</v>
      </c>
      <c r="D97">
        <f>($L$4+10*LOG10($I$8))-C97</f>
        <v>-86.261056764639619</v>
      </c>
    </row>
    <row r="98" spans="2:4">
      <c r="B98" s="3">
        <v>940</v>
      </c>
      <c r="C98">
        <f t="shared" si="5"/>
        <v>157.51467935030675</v>
      </c>
      <c r="D98">
        <f>($L$4+10*LOG10($I$8))-C98</f>
        <v>-86.442579653828062</v>
      </c>
    </row>
    <row r="99" spans="2:4">
      <c r="B99" s="3">
        <v>950</v>
      </c>
      <c r="C99">
        <f t="shared" si="5"/>
        <v>157.69428132631867</v>
      </c>
      <c r="D99">
        <f>($L$4+10*LOG10($I$8))-C99</f>
        <v>-86.622181629839986</v>
      </c>
    </row>
    <row r="100" spans="2:4">
      <c r="B100" s="3">
        <v>960</v>
      </c>
      <c r="C100">
        <f t="shared" si="5"/>
        <v>157.87200261881685</v>
      </c>
      <c r="D100">
        <f>($L$4+10*LOG10($I$8))-C100</f>
        <v>-86.799902922338163</v>
      </c>
    </row>
    <row r="101" spans="2:4">
      <c r="B101" s="3">
        <v>970</v>
      </c>
      <c r="C101">
        <f t="shared" si="5"/>
        <v>158.04788220675536</v>
      </c>
      <c r="D101">
        <f>($L$4+10*LOG10($I$8))-C101</f>
        <v>-86.975782510276673</v>
      </c>
    </row>
    <row r="102" spans="2:4">
      <c r="B102" s="3">
        <v>980</v>
      </c>
      <c r="C102">
        <f t="shared" si="5"/>
        <v>158.2219578696932</v>
      </c>
      <c r="D102">
        <f>($L$4+10*LOG10($I$8))-C102</f>
        <v>-87.149858173214511</v>
      </c>
    </row>
    <row r="103" spans="2:4">
      <c r="B103" s="3">
        <v>990</v>
      </c>
      <c r="C103">
        <f t="shared" si="5"/>
        <v>158.39426623650277</v>
      </c>
      <c r="D103">
        <f>($L$4+10*LOG10($I$8))-C103</f>
        <v>-87.322166540024085</v>
      </c>
    </row>
    <row r="104" spans="2:4">
      <c r="B104" s="3">
        <v>1000</v>
      </c>
      <c r="C104">
        <f t="shared" si="5"/>
        <v>158.56484283163053</v>
      </c>
      <c r="D104">
        <f>($L$4+10*LOG10($I$8))-C104</f>
        <v>-87.492743135151841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C4D3-234D-442D-B154-2E0379C562E7}">
  <dimension ref="A2:Q155"/>
  <sheetViews>
    <sheetView workbookViewId="0">
      <selection activeCell="M20" sqref="M20"/>
    </sheetView>
  </sheetViews>
  <sheetFormatPr defaultRowHeight="15"/>
  <cols>
    <col min="1" max="1" width="16" customWidth="1"/>
    <col min="2" max="2" width="43.42578125" customWidth="1"/>
    <col min="3" max="3" width="19.5703125" customWidth="1"/>
    <col min="4" max="4" width="17.5703125" customWidth="1"/>
    <col min="5" max="5" width="19.140625" customWidth="1"/>
    <col min="6" max="6" width="14.85546875" customWidth="1"/>
    <col min="7" max="7" width="81.85546875" customWidth="1"/>
    <col min="8" max="8" width="12.28515625" bestFit="1" customWidth="1"/>
    <col min="9" max="9" width="91.28515625" bestFit="1" customWidth="1"/>
    <col min="11" max="11" width="18" customWidth="1"/>
    <col min="12" max="12" width="15" customWidth="1"/>
    <col min="13" max="13" width="24.85546875" customWidth="1"/>
    <col min="15" max="15" width="83" bestFit="1" customWidth="1"/>
    <col min="16" max="16" width="12.28515625" bestFit="1" customWidth="1"/>
    <col min="17" max="17" width="91.28515625" bestFit="1" customWidth="1"/>
  </cols>
  <sheetData>
    <row r="2" spans="1:17" ht="18.75">
      <c r="G2" s="19" t="s">
        <v>55</v>
      </c>
      <c r="H2" s="20"/>
      <c r="I2" s="20"/>
      <c r="O2" s="19" t="s">
        <v>56</v>
      </c>
      <c r="P2" s="19"/>
      <c r="Q2" s="19"/>
    </row>
    <row r="3" spans="1:17" ht="18">
      <c r="G3" s="14" t="s">
        <v>57</v>
      </c>
      <c r="H3" s="8"/>
      <c r="I3" s="9"/>
      <c r="J3" s="8"/>
      <c r="O3" s="14" t="s">
        <v>57</v>
      </c>
      <c r="P3" s="8"/>
      <c r="Q3" s="9"/>
    </row>
    <row r="4" spans="1:17">
      <c r="G4" s="23" t="s">
        <v>58</v>
      </c>
      <c r="H4" s="8"/>
      <c r="I4" s="9"/>
      <c r="J4" s="8"/>
      <c r="O4" s="23" t="s">
        <v>58</v>
      </c>
      <c r="P4" s="8"/>
      <c r="Q4" s="9"/>
    </row>
    <row r="5" spans="1:17" ht="15.75" customHeight="1">
      <c r="A5" s="16" t="s">
        <v>59</v>
      </c>
      <c r="B5" s="17" t="s">
        <v>60</v>
      </c>
      <c r="C5" s="17" t="s">
        <v>61</v>
      </c>
      <c r="D5" s="16" t="s">
        <v>0</v>
      </c>
      <c r="G5" s="12" t="s">
        <v>62</v>
      </c>
      <c r="H5" s="8">
        <v>100</v>
      </c>
      <c r="I5" s="9" t="s">
        <v>63</v>
      </c>
      <c r="J5" s="8"/>
      <c r="O5" s="12" t="s">
        <v>62</v>
      </c>
      <c r="P5" s="8">
        <v>200</v>
      </c>
      <c r="Q5" s="9" t="s">
        <v>63</v>
      </c>
    </row>
    <row r="6" spans="1:17">
      <c r="A6" s="18" t="s">
        <v>64</v>
      </c>
      <c r="B6" s="18">
        <f>SUM(B7:B9)</f>
        <v>1014.6204039305212</v>
      </c>
      <c r="C6" s="18">
        <f>SUM(C7:C9)</f>
        <v>13676.734814650126</v>
      </c>
      <c r="D6" s="18">
        <f>SUM(D7:D9)</f>
        <v>38</v>
      </c>
      <c r="G6" s="12" t="s">
        <v>65</v>
      </c>
      <c r="H6" s="8">
        <v>30</v>
      </c>
      <c r="I6" s="9" t="s">
        <v>66</v>
      </c>
      <c r="J6" s="8"/>
      <c r="O6" s="12" t="s">
        <v>65</v>
      </c>
      <c r="P6" s="8">
        <v>60</v>
      </c>
      <c r="Q6" s="9" t="s">
        <v>66</v>
      </c>
    </row>
    <row r="7" spans="1:17">
      <c r="A7" s="21" t="s">
        <v>9</v>
      </c>
      <c r="B7" s="21">
        <f>SUM(H31+P31)</f>
        <v>326.3314707692308</v>
      </c>
      <c r="C7" s="21">
        <f>SUM(B7*D7)</f>
        <v>3915.9776492307697</v>
      </c>
      <c r="D7" s="21">
        <v>12</v>
      </c>
      <c r="G7" s="12" t="s">
        <v>67</v>
      </c>
      <c r="H7" s="8">
        <v>7.2</v>
      </c>
      <c r="I7" s="9" t="s">
        <v>68</v>
      </c>
      <c r="J7" s="8"/>
      <c r="O7" s="12" t="s">
        <v>67</v>
      </c>
      <c r="P7" s="8">
        <v>7.2</v>
      </c>
      <c r="Q7" s="9" t="s">
        <v>68</v>
      </c>
    </row>
    <row r="8" spans="1:17">
      <c r="A8" s="21" t="s">
        <v>15</v>
      </c>
      <c r="B8" s="21">
        <f>SUM(H62)</f>
        <v>140.89420800000005</v>
      </c>
      <c r="C8" s="21">
        <f>B8*D8</f>
        <v>1549.8362880000004</v>
      </c>
      <c r="D8" s="21">
        <v>11</v>
      </c>
      <c r="G8" s="12" t="s">
        <v>69</v>
      </c>
      <c r="H8" s="8">
        <f>_xlfn.FLOOR.MATH((H5*10^6-1680000 )/(H6*1000*12))</f>
        <v>273</v>
      </c>
      <c r="I8" s="9" t="s">
        <v>70</v>
      </c>
      <c r="J8" s="8"/>
      <c r="O8" s="12" t="s">
        <v>69</v>
      </c>
      <c r="P8" s="8">
        <f>_xlfn.FLOOR.MATH((P5*10^6-1680000 )/(P6*1000*12))</f>
        <v>275</v>
      </c>
      <c r="Q8" s="9" t="s">
        <v>70</v>
      </c>
    </row>
    <row r="9" spans="1:17">
      <c r="A9" s="21" t="s">
        <v>21</v>
      </c>
      <c r="B9" s="21">
        <f>SUM(H93+P93)</f>
        <v>547.39472516129035</v>
      </c>
      <c r="C9" s="21">
        <f>B9*D9</f>
        <v>8210.9208774193557</v>
      </c>
      <c r="D9" s="21">
        <v>15</v>
      </c>
      <c r="G9" s="12" t="s">
        <v>71</v>
      </c>
      <c r="H9" s="8">
        <v>4</v>
      </c>
      <c r="I9" s="9"/>
      <c r="J9" s="8"/>
      <c r="O9" s="12" t="s">
        <v>71</v>
      </c>
      <c r="P9" s="8">
        <v>4</v>
      </c>
      <c r="Q9" s="9"/>
    </row>
    <row r="10" spans="1:17">
      <c r="G10" s="12" t="s">
        <v>72</v>
      </c>
      <c r="H10" s="8">
        <v>14</v>
      </c>
      <c r="I10" s="9" t="s">
        <v>73</v>
      </c>
      <c r="J10" s="8"/>
      <c r="O10" s="12" t="s">
        <v>72</v>
      </c>
      <c r="P10" s="8">
        <v>14</v>
      </c>
      <c r="Q10" s="9" t="s">
        <v>73</v>
      </c>
    </row>
    <row r="11" spans="1:17">
      <c r="G11" s="12" t="s">
        <v>74</v>
      </c>
      <c r="H11" s="8"/>
      <c r="I11" s="9"/>
      <c r="J11" s="8"/>
      <c r="O11" s="12" t="s">
        <v>74</v>
      </c>
      <c r="P11" s="8"/>
      <c r="Q11" s="9"/>
    </row>
    <row r="12" spans="1:17">
      <c r="A12" s="16" t="s">
        <v>59</v>
      </c>
      <c r="B12" s="17" t="s">
        <v>60</v>
      </c>
      <c r="C12" s="16" t="s">
        <v>61</v>
      </c>
      <c r="D12" s="16" t="s">
        <v>0</v>
      </c>
      <c r="G12" s="9"/>
      <c r="H12" s="8"/>
      <c r="I12" s="9"/>
      <c r="J12" s="8"/>
      <c r="O12" s="9"/>
      <c r="P12" s="8"/>
      <c r="Q12" s="9"/>
    </row>
    <row r="13" spans="1:17">
      <c r="A13" s="18" t="s">
        <v>75</v>
      </c>
      <c r="B13" s="18">
        <f>SUM(B14:B16)</f>
        <v>609.15207876923091</v>
      </c>
      <c r="C13" s="18">
        <f>SUM(C14:C16)</f>
        <v>16021.326926769232</v>
      </c>
      <c r="D13" s="18">
        <f>SUM(D14:D16)</f>
        <v>61</v>
      </c>
      <c r="G13" s="23" t="s">
        <v>76</v>
      </c>
      <c r="H13" s="8"/>
      <c r="I13" s="9"/>
      <c r="J13" s="8"/>
      <c r="O13" s="23" t="s">
        <v>76</v>
      </c>
      <c r="P13" s="8"/>
      <c r="Q13" s="9"/>
    </row>
    <row r="14" spans="1:17">
      <c r="A14" s="21" t="s">
        <v>9</v>
      </c>
      <c r="B14" s="21">
        <f>B7</f>
        <v>326.3314707692308</v>
      </c>
      <c r="C14" s="21">
        <f>B14*D14</f>
        <v>13053.258830769231</v>
      </c>
      <c r="D14" s="21">
        <v>40</v>
      </c>
      <c r="G14" s="9"/>
      <c r="H14" s="8"/>
      <c r="I14" s="9"/>
      <c r="J14" s="8"/>
      <c r="O14" s="9"/>
      <c r="P14" s="8"/>
      <c r="Q14" s="9"/>
    </row>
    <row r="15" spans="1:17">
      <c r="A15" s="21" t="s">
        <v>15</v>
      </c>
      <c r="B15" s="21">
        <f>B8</f>
        <v>140.89420800000005</v>
      </c>
      <c r="C15" s="21">
        <f>B15*D15</f>
        <v>1690.7304960000006</v>
      </c>
      <c r="D15" s="21">
        <v>12</v>
      </c>
      <c r="G15" s="12" t="s">
        <v>77</v>
      </c>
      <c r="H15" s="8">
        <v>12</v>
      </c>
      <c r="I15" s="9"/>
      <c r="J15" s="8"/>
      <c r="O15" s="12" t="s">
        <v>77</v>
      </c>
      <c r="P15" s="8">
        <v>12</v>
      </c>
      <c r="Q15" s="9"/>
    </row>
    <row r="16" spans="1:17">
      <c r="A16" s="21" t="s">
        <v>47</v>
      </c>
      <c r="B16" s="21">
        <f>SUM(P62)</f>
        <v>141.9264</v>
      </c>
      <c r="C16" s="21">
        <f>B16*D16</f>
        <v>1277.3376000000001</v>
      </c>
      <c r="D16" s="21">
        <v>9</v>
      </c>
      <c r="G16" s="12" t="s">
        <v>72</v>
      </c>
      <c r="H16" s="8">
        <v>14</v>
      </c>
      <c r="I16" s="9"/>
      <c r="J16" s="8"/>
      <c r="O16" s="12" t="s">
        <v>72</v>
      </c>
      <c r="P16" s="8">
        <v>14</v>
      </c>
      <c r="Q16" s="9"/>
    </row>
    <row r="17" spans="1:17">
      <c r="A17" s="3"/>
      <c r="B17" s="3"/>
      <c r="C17" s="3"/>
      <c r="D17" s="3"/>
      <c r="G17" s="12" t="s">
        <v>78</v>
      </c>
      <c r="H17" s="8">
        <f>H15*H16*H7</f>
        <v>1209.6000000000001</v>
      </c>
      <c r="I17" s="9" t="s">
        <v>79</v>
      </c>
      <c r="J17" s="8"/>
      <c r="O17" s="12" t="s">
        <v>78</v>
      </c>
      <c r="P17" s="8">
        <f>P15*P16*P7</f>
        <v>1209.6000000000001</v>
      </c>
      <c r="Q17" s="9" t="s">
        <v>79</v>
      </c>
    </row>
    <row r="18" spans="1:17">
      <c r="A18" s="3"/>
      <c r="B18" s="3"/>
      <c r="C18" s="3"/>
      <c r="D18" s="3"/>
      <c r="G18" s="12" t="s">
        <v>80</v>
      </c>
      <c r="H18" s="10">
        <f>1/(2*H6*10^3)</f>
        <v>1.6666666666666667E-5</v>
      </c>
      <c r="I18" s="9" t="s">
        <v>81</v>
      </c>
      <c r="J18" s="8"/>
      <c r="O18" s="12" t="s">
        <v>80</v>
      </c>
      <c r="P18" s="10">
        <f>1/(2*P6*10^3)</f>
        <v>8.3333333333333337E-6</v>
      </c>
      <c r="Q18" s="9" t="s">
        <v>81</v>
      </c>
    </row>
    <row r="19" spans="1:17">
      <c r="A19" s="16" t="s">
        <v>59</v>
      </c>
      <c r="B19" s="17" t="s">
        <v>60</v>
      </c>
      <c r="C19" s="16" t="s">
        <v>61</v>
      </c>
      <c r="D19" s="16" t="s">
        <v>0</v>
      </c>
      <c r="G19" s="9"/>
      <c r="H19" s="8"/>
      <c r="I19" s="9"/>
      <c r="J19" s="8"/>
      <c r="O19" s="9"/>
      <c r="P19" s="8"/>
      <c r="Q19" s="9"/>
    </row>
    <row r="20" spans="1:17">
      <c r="A20" s="18" t="s">
        <v>82</v>
      </c>
      <c r="B20" s="18">
        <f>SUM(B21:B22)</f>
        <v>646.54557986013992</v>
      </c>
      <c r="C20" s="18">
        <f>SUM(C21:C22)</f>
        <v>15245.818700979024</v>
      </c>
      <c r="D20" s="18">
        <f>SUM(D21:D22)</f>
        <v>47</v>
      </c>
      <c r="G20" s="23" t="s">
        <v>83</v>
      </c>
      <c r="H20" s="8"/>
      <c r="I20" s="9"/>
      <c r="J20" s="8"/>
      <c r="O20" s="23" t="s">
        <v>83</v>
      </c>
      <c r="P20" s="8"/>
      <c r="Q20" s="9"/>
    </row>
    <row r="21" spans="1:17">
      <c r="A21" s="21" t="s">
        <v>9</v>
      </c>
      <c r="B21" s="21">
        <f>B7</f>
        <v>326.3314707692308</v>
      </c>
      <c r="C21" s="21">
        <f>B21*D21</f>
        <v>10442.607064615386</v>
      </c>
      <c r="D21" s="21">
        <v>32</v>
      </c>
      <c r="G21" s="9"/>
      <c r="H21" s="8"/>
      <c r="I21" s="9"/>
      <c r="J21" s="8"/>
      <c r="O21" s="9"/>
      <c r="P21" s="8"/>
      <c r="Q21" s="9"/>
    </row>
    <row r="22" spans="1:17">
      <c r="A22" s="21" t="s">
        <v>84</v>
      </c>
      <c r="B22" s="21">
        <f>SUM(H155)</f>
        <v>320.21410909090918</v>
      </c>
      <c r="C22" s="21">
        <f>B22*D22</f>
        <v>4803.2116363636378</v>
      </c>
      <c r="D22" s="21">
        <v>15</v>
      </c>
      <c r="G22" s="9" t="s">
        <v>85</v>
      </c>
      <c r="H22" s="8"/>
      <c r="I22" s="9"/>
      <c r="J22" s="8"/>
      <c r="O22" s="9" t="s">
        <v>85</v>
      </c>
      <c r="P22" s="8"/>
      <c r="Q22" s="9"/>
    </row>
    <row r="23" spans="1:17">
      <c r="A23" s="3"/>
      <c r="B23" s="3"/>
      <c r="C23" s="3"/>
      <c r="D23" s="3"/>
      <c r="G23" s="12" t="s">
        <v>86</v>
      </c>
      <c r="H23" s="8">
        <f>1/0.5*1000</f>
        <v>2000</v>
      </c>
      <c r="I23" s="9"/>
      <c r="J23" s="8"/>
      <c r="O23" s="12" t="s">
        <v>86</v>
      </c>
      <c r="P23" s="8">
        <f>1/0.5*1000</f>
        <v>2000</v>
      </c>
      <c r="Q23" s="9"/>
    </row>
    <row r="24" spans="1:17">
      <c r="A24" s="3"/>
      <c r="B24" s="3"/>
      <c r="C24" s="3"/>
      <c r="D24" s="3"/>
      <c r="G24" s="12" t="s">
        <v>87</v>
      </c>
      <c r="H24" s="8">
        <f>H17*H23/10^6</f>
        <v>2.4192000000000005</v>
      </c>
      <c r="I24" s="12" t="s">
        <v>88</v>
      </c>
      <c r="J24" s="8"/>
      <c r="O24" s="12" t="s">
        <v>87</v>
      </c>
      <c r="P24" s="8">
        <f>P17*P23/10^6</f>
        <v>2.4192000000000005</v>
      </c>
      <c r="Q24" s="12" t="s">
        <v>88</v>
      </c>
    </row>
    <row r="25" spans="1:17">
      <c r="A25" s="16" t="s">
        <v>59</v>
      </c>
      <c r="B25" s="17" t="s">
        <v>60</v>
      </c>
      <c r="C25" s="16" t="s">
        <v>61</v>
      </c>
      <c r="D25" s="16" t="s">
        <v>0</v>
      </c>
      <c r="G25" s="9"/>
      <c r="H25" s="8"/>
      <c r="I25" s="9"/>
      <c r="J25" s="8"/>
      <c r="O25" s="9"/>
      <c r="P25" s="8"/>
      <c r="Q25" s="9"/>
    </row>
    <row r="26" spans="1:17">
      <c r="A26" s="18" t="s">
        <v>89</v>
      </c>
      <c r="B26" s="18">
        <f>SUM(B27:B29)</f>
        <v>750.04628676923085</v>
      </c>
      <c r="C26" s="18">
        <f>SUM(C27:C29)</f>
        <v>24129.909681230773</v>
      </c>
      <c r="D26" s="18">
        <f>SUM(D27:D29)</f>
        <v>83</v>
      </c>
      <c r="G26" s="24" t="s">
        <v>90</v>
      </c>
      <c r="H26" s="8"/>
      <c r="I26" s="9"/>
      <c r="J26" s="8"/>
      <c r="O26" s="24" t="s">
        <v>90</v>
      </c>
      <c r="P26" s="8"/>
      <c r="Q26" s="9"/>
    </row>
    <row r="27" spans="1:17" ht="16.5" customHeight="1">
      <c r="A27" s="21" t="s">
        <v>9</v>
      </c>
      <c r="B27" s="21">
        <f>B7</f>
        <v>326.3314707692308</v>
      </c>
      <c r="C27" s="21">
        <f>B27*D27</f>
        <v>20885.214129230772</v>
      </c>
      <c r="D27" s="21">
        <v>64</v>
      </c>
      <c r="G27" s="9" t="s">
        <v>91</v>
      </c>
      <c r="H27" s="8"/>
      <c r="I27" s="9"/>
      <c r="J27" s="8"/>
      <c r="O27" s="9" t="s">
        <v>91</v>
      </c>
      <c r="P27" s="8"/>
      <c r="Q27" s="9"/>
    </row>
    <row r="28" spans="1:17">
      <c r="A28" s="21" t="s">
        <v>15</v>
      </c>
      <c r="B28" s="21">
        <f>B8</f>
        <v>140.89420800000005</v>
      </c>
      <c r="C28" s="21">
        <f>B28*D28</f>
        <v>2113.4131200000006</v>
      </c>
      <c r="D28" s="21">
        <v>15</v>
      </c>
      <c r="G28" s="9"/>
      <c r="H28" s="8"/>
      <c r="I28" s="9"/>
      <c r="J28" s="8"/>
      <c r="O28" s="9"/>
      <c r="P28" s="8"/>
      <c r="Q28" s="9"/>
    </row>
    <row r="29" spans="1:17" ht="15.75" customHeight="1">
      <c r="A29" s="22" t="s">
        <v>92</v>
      </c>
      <c r="B29" s="21">
        <f>SUM(H124+P124)</f>
        <v>282.82060800000005</v>
      </c>
      <c r="C29" s="21">
        <f>B29*D29</f>
        <v>1131.2824320000002</v>
      </c>
      <c r="D29" s="21">
        <v>4</v>
      </c>
      <c r="G29" s="13" t="s">
        <v>93</v>
      </c>
      <c r="H29" s="11">
        <f>(H8*H9*(H24*10^6))/10^9</f>
        <v>2.6417664000000003</v>
      </c>
      <c r="I29" s="12" t="s">
        <v>94</v>
      </c>
      <c r="J29" s="8"/>
      <c r="O29" s="13" t="s">
        <v>93</v>
      </c>
      <c r="P29" s="11">
        <f>(P8*P9*(P24*10^6))/10^9</f>
        <v>2.6611200000000004</v>
      </c>
      <c r="Q29" s="12" t="s">
        <v>94</v>
      </c>
    </row>
    <row r="30" spans="1:17">
      <c r="G30" t="s">
        <v>95</v>
      </c>
      <c r="H30">
        <v>13</v>
      </c>
      <c r="O30" t="s">
        <v>95</v>
      </c>
      <c r="P30">
        <v>13</v>
      </c>
    </row>
    <row r="31" spans="1:17">
      <c r="G31" t="s">
        <v>96</v>
      </c>
      <c r="H31">
        <f>((H29*10^3)*(100%-20%))/H30</f>
        <v>162.57024000000004</v>
      </c>
      <c r="O31" t="s">
        <v>96</v>
      </c>
      <c r="P31">
        <f>((P29*10^3)*(100%-20%))/P30</f>
        <v>163.76123076923079</v>
      </c>
    </row>
    <row r="34" spans="7:17" ht="18">
      <c r="G34" s="14" t="s">
        <v>97</v>
      </c>
      <c r="H34" s="8"/>
      <c r="I34" s="9"/>
      <c r="O34" s="14" t="s">
        <v>98</v>
      </c>
    </row>
    <row r="35" spans="7:17">
      <c r="G35" s="23" t="s">
        <v>58</v>
      </c>
      <c r="H35" s="8"/>
      <c r="I35" s="9"/>
      <c r="O35" s="23" t="s">
        <v>58</v>
      </c>
      <c r="P35" s="8"/>
      <c r="Q35" s="9"/>
    </row>
    <row r="36" spans="7:17">
      <c r="G36" s="12" t="s">
        <v>62</v>
      </c>
      <c r="H36" s="8">
        <v>100</v>
      </c>
      <c r="I36" s="9" t="s">
        <v>63</v>
      </c>
      <c r="O36" s="12" t="s">
        <v>62</v>
      </c>
      <c r="P36" s="8">
        <v>200</v>
      </c>
      <c r="Q36" s="9" t="s">
        <v>63</v>
      </c>
    </row>
    <row r="37" spans="7:17">
      <c r="G37" s="12" t="s">
        <v>65</v>
      </c>
      <c r="H37" s="8">
        <v>30</v>
      </c>
      <c r="I37" s="9" t="s">
        <v>66</v>
      </c>
      <c r="O37" s="12" t="s">
        <v>65</v>
      </c>
      <c r="P37" s="8">
        <v>60</v>
      </c>
      <c r="Q37" s="9" t="s">
        <v>66</v>
      </c>
    </row>
    <row r="38" spans="7:17">
      <c r="G38" s="12" t="s">
        <v>67</v>
      </c>
      <c r="H38" s="8">
        <v>7.2</v>
      </c>
      <c r="I38" s="9" t="s">
        <v>68</v>
      </c>
      <c r="O38" s="12" t="s">
        <v>67</v>
      </c>
      <c r="P38" s="8">
        <v>7.2</v>
      </c>
      <c r="Q38" s="9" t="s">
        <v>68</v>
      </c>
    </row>
    <row r="39" spans="7:17">
      <c r="G39" s="12" t="s">
        <v>69</v>
      </c>
      <c r="H39" s="8">
        <f>_xlfn.FLOOR.MATH((H36*10^6-1680000 )/(H37*1000*12))</f>
        <v>273</v>
      </c>
      <c r="I39" s="9" t="s">
        <v>70</v>
      </c>
      <c r="O39" s="12" t="s">
        <v>69</v>
      </c>
      <c r="P39" s="8">
        <f>_xlfn.FLOOR.MATH((P36*10^6-1680000 )/(P37*1000*12))</f>
        <v>275</v>
      </c>
      <c r="Q39" s="9" t="s">
        <v>70</v>
      </c>
    </row>
    <row r="40" spans="7:17">
      <c r="G40" s="12" t="s">
        <v>71</v>
      </c>
      <c r="H40" s="8">
        <v>4</v>
      </c>
      <c r="I40" s="9"/>
      <c r="O40" s="12" t="s">
        <v>71</v>
      </c>
      <c r="P40" s="8">
        <v>4</v>
      </c>
      <c r="Q40" s="9"/>
    </row>
    <row r="41" spans="7:17">
      <c r="G41" s="12" t="s">
        <v>72</v>
      </c>
      <c r="H41" s="8">
        <v>14</v>
      </c>
      <c r="I41" s="9" t="s">
        <v>73</v>
      </c>
      <c r="O41" s="12" t="s">
        <v>72</v>
      </c>
      <c r="P41" s="8">
        <v>14</v>
      </c>
      <c r="Q41" s="9" t="s">
        <v>73</v>
      </c>
    </row>
    <row r="42" spans="7:17">
      <c r="G42" s="12" t="s">
        <v>74</v>
      </c>
      <c r="H42" s="8"/>
      <c r="I42" s="9"/>
      <c r="O42" s="12" t="s">
        <v>74</v>
      </c>
      <c r="P42" s="8"/>
      <c r="Q42" s="9"/>
    </row>
    <row r="43" spans="7:17">
      <c r="G43" s="9"/>
      <c r="H43" s="8"/>
      <c r="I43" s="9"/>
      <c r="O43" s="9"/>
      <c r="P43" s="8"/>
      <c r="Q43" s="9"/>
    </row>
    <row r="44" spans="7:17">
      <c r="G44" s="23" t="s">
        <v>76</v>
      </c>
      <c r="H44" s="8"/>
      <c r="I44" s="9"/>
      <c r="O44" s="23" t="s">
        <v>76</v>
      </c>
      <c r="P44" s="8"/>
      <c r="Q44" s="9"/>
    </row>
    <row r="45" spans="7:17">
      <c r="G45" s="9"/>
      <c r="H45" s="8"/>
      <c r="I45" s="9"/>
      <c r="O45" s="9"/>
      <c r="P45" s="8"/>
      <c r="Q45" s="9"/>
    </row>
    <row r="46" spans="7:17">
      <c r="G46" s="12" t="s">
        <v>77</v>
      </c>
      <c r="H46" s="8">
        <v>12</v>
      </c>
      <c r="I46" s="9"/>
      <c r="O46" s="12" t="s">
        <v>77</v>
      </c>
      <c r="P46" s="8">
        <v>12</v>
      </c>
      <c r="Q46" s="9"/>
    </row>
    <row r="47" spans="7:17">
      <c r="G47" s="12" t="s">
        <v>72</v>
      </c>
      <c r="H47" s="8">
        <v>14</v>
      </c>
      <c r="I47" s="9"/>
      <c r="O47" s="12" t="s">
        <v>72</v>
      </c>
      <c r="P47" s="8">
        <v>14</v>
      </c>
      <c r="Q47" s="9"/>
    </row>
    <row r="48" spans="7:17">
      <c r="G48" s="12" t="s">
        <v>78</v>
      </c>
      <c r="H48" s="8">
        <f>H46*H47*H38</f>
        <v>1209.6000000000001</v>
      </c>
      <c r="I48" s="9" t="s">
        <v>79</v>
      </c>
      <c r="O48" s="12" t="s">
        <v>78</v>
      </c>
      <c r="P48" s="8">
        <f>P46*P47*P38</f>
        <v>1209.6000000000001</v>
      </c>
      <c r="Q48" s="9" t="s">
        <v>79</v>
      </c>
    </row>
    <row r="49" spans="7:17">
      <c r="G49" s="12" t="s">
        <v>80</v>
      </c>
      <c r="H49" s="10">
        <f>1/(2*H37*10^3)</f>
        <v>1.6666666666666667E-5</v>
      </c>
      <c r="I49" s="9" t="s">
        <v>81</v>
      </c>
      <c r="O49" s="12" t="s">
        <v>80</v>
      </c>
      <c r="P49" s="10">
        <f>1/(2*P37*10^3)</f>
        <v>8.3333333333333337E-6</v>
      </c>
      <c r="Q49" s="9" t="s">
        <v>81</v>
      </c>
    </row>
    <row r="50" spans="7:17">
      <c r="G50" s="9"/>
      <c r="H50" s="8"/>
      <c r="I50" s="9"/>
      <c r="O50" s="9"/>
      <c r="P50" s="8"/>
      <c r="Q50" s="9"/>
    </row>
    <row r="51" spans="7:17">
      <c r="G51" s="23" t="s">
        <v>83</v>
      </c>
      <c r="H51" s="8"/>
      <c r="I51" s="9"/>
      <c r="O51" s="23" t="s">
        <v>83</v>
      </c>
      <c r="P51" s="8"/>
      <c r="Q51" s="9"/>
    </row>
    <row r="52" spans="7:17">
      <c r="G52" s="9"/>
      <c r="H52" s="8"/>
      <c r="I52" s="9"/>
      <c r="O52" s="9"/>
      <c r="P52" s="8"/>
      <c r="Q52" s="9"/>
    </row>
    <row r="53" spans="7:17">
      <c r="G53" s="9" t="s">
        <v>85</v>
      </c>
      <c r="H53" s="8"/>
      <c r="I53" s="9"/>
      <c r="O53" s="9" t="s">
        <v>85</v>
      </c>
      <c r="P53" s="8"/>
      <c r="Q53" s="9"/>
    </row>
    <row r="54" spans="7:17">
      <c r="G54" s="12" t="s">
        <v>86</v>
      </c>
      <c r="H54" s="8">
        <f>1/0.5*1000</f>
        <v>2000</v>
      </c>
      <c r="I54" s="9"/>
      <c r="O54" s="12" t="s">
        <v>86</v>
      </c>
      <c r="P54" s="8">
        <f>1/0.5*1000</f>
        <v>2000</v>
      </c>
      <c r="Q54" s="9"/>
    </row>
    <row r="55" spans="7:17">
      <c r="G55" s="12" t="s">
        <v>87</v>
      </c>
      <c r="H55" s="8">
        <f>H48*H54/10^6</f>
        <v>2.4192000000000005</v>
      </c>
      <c r="I55" s="12" t="s">
        <v>88</v>
      </c>
      <c r="O55" s="12" t="s">
        <v>87</v>
      </c>
      <c r="P55" s="8">
        <f>P48*P54/10^6</f>
        <v>2.4192000000000005</v>
      </c>
      <c r="Q55" s="12" t="s">
        <v>88</v>
      </c>
    </row>
    <row r="56" spans="7:17">
      <c r="G56" s="9"/>
      <c r="H56" s="8"/>
      <c r="I56" s="9"/>
      <c r="O56" s="9"/>
      <c r="P56" s="8"/>
      <c r="Q56" s="9"/>
    </row>
    <row r="57" spans="7:17">
      <c r="G57" s="24" t="s">
        <v>90</v>
      </c>
      <c r="H57" s="8"/>
      <c r="I57" s="9"/>
      <c r="O57" s="24" t="s">
        <v>90</v>
      </c>
      <c r="P57" s="8"/>
      <c r="Q57" s="9"/>
    </row>
    <row r="58" spans="7:17" ht="18" customHeight="1">
      <c r="G58" s="9" t="s">
        <v>91</v>
      </c>
      <c r="H58" s="8"/>
      <c r="I58" s="9"/>
      <c r="O58" s="9" t="s">
        <v>91</v>
      </c>
      <c r="P58" s="8"/>
      <c r="Q58" s="9"/>
    </row>
    <row r="59" spans="7:17">
      <c r="G59" s="9"/>
      <c r="H59" s="8"/>
      <c r="I59" s="9"/>
      <c r="O59" s="9"/>
      <c r="P59" s="8"/>
      <c r="Q59" s="9"/>
    </row>
    <row r="60" spans="7:17" ht="19.5">
      <c r="G60" s="13" t="s">
        <v>93</v>
      </c>
      <c r="H60" s="11">
        <f>(H39*H40*(H55*10^6))/10^9</f>
        <v>2.6417664000000003</v>
      </c>
      <c r="I60" s="12" t="s">
        <v>94</v>
      </c>
      <c r="O60" s="13" t="s">
        <v>93</v>
      </c>
      <c r="P60" s="11">
        <f>(P39*P40*(P55*10^6))/10^9</f>
        <v>2.6611200000000004</v>
      </c>
      <c r="Q60" s="12" t="s">
        <v>94</v>
      </c>
    </row>
    <row r="61" spans="7:17">
      <c r="G61" t="s">
        <v>95</v>
      </c>
      <c r="H61">
        <v>15</v>
      </c>
      <c r="O61" t="s">
        <v>95</v>
      </c>
      <c r="P61">
        <v>15</v>
      </c>
    </row>
    <row r="62" spans="7:17">
      <c r="G62" t="s">
        <v>96</v>
      </c>
      <c r="H62">
        <f>((H60*10^3)*(100%-20%))/H61</f>
        <v>140.89420800000005</v>
      </c>
      <c r="O62" t="s">
        <v>96</v>
      </c>
      <c r="P62">
        <f>((P60*10^3)*(100%-20%))/P61</f>
        <v>141.9264</v>
      </c>
      <c r="Q62" s="15"/>
    </row>
    <row r="65" spans="7:17" ht="18">
      <c r="G65" s="14" t="s">
        <v>99</v>
      </c>
      <c r="H65" s="8"/>
      <c r="I65" s="9"/>
      <c r="O65" s="14" t="s">
        <v>99</v>
      </c>
    </row>
    <row r="66" spans="7:17">
      <c r="G66" s="23" t="s">
        <v>58</v>
      </c>
      <c r="H66" s="8"/>
      <c r="I66" s="9"/>
      <c r="O66" s="23" t="s">
        <v>58</v>
      </c>
      <c r="P66" s="8"/>
      <c r="Q66" s="9"/>
    </row>
    <row r="67" spans="7:17">
      <c r="G67" s="12" t="s">
        <v>62</v>
      </c>
      <c r="H67" s="8">
        <v>100</v>
      </c>
      <c r="I67" s="9" t="s">
        <v>63</v>
      </c>
      <c r="O67" s="12" t="s">
        <v>62</v>
      </c>
      <c r="P67" s="8">
        <v>200</v>
      </c>
      <c r="Q67" s="9" t="s">
        <v>63</v>
      </c>
    </row>
    <row r="68" spans="7:17">
      <c r="G68" s="12" t="s">
        <v>65</v>
      </c>
      <c r="H68" s="8">
        <v>30</v>
      </c>
      <c r="I68" s="9" t="s">
        <v>66</v>
      </c>
      <c r="O68" s="12" t="s">
        <v>65</v>
      </c>
      <c r="P68" s="8">
        <v>60</v>
      </c>
      <c r="Q68" s="9" t="s">
        <v>66</v>
      </c>
    </row>
    <row r="69" spans="7:17">
      <c r="G69" s="12" t="s">
        <v>67</v>
      </c>
      <c r="H69" s="8">
        <v>7.2</v>
      </c>
      <c r="I69" s="9" t="s">
        <v>68</v>
      </c>
      <c r="O69" s="12" t="s">
        <v>67</v>
      </c>
      <c r="P69" s="8">
        <v>7.2</v>
      </c>
      <c r="Q69" s="9" t="s">
        <v>68</v>
      </c>
    </row>
    <row r="70" spans="7:17">
      <c r="G70" s="12" t="s">
        <v>69</v>
      </c>
      <c r="H70" s="8">
        <f>_xlfn.FLOOR.MATH((H67*10^6-1680000 )/(H68*1000*12))</f>
        <v>273</v>
      </c>
      <c r="I70" s="9" t="s">
        <v>70</v>
      </c>
      <c r="O70" s="12" t="s">
        <v>69</v>
      </c>
      <c r="P70" s="8">
        <f>_xlfn.FLOOR.MATH((P67*10^6-1680000 )/(P68*1000*12))</f>
        <v>275</v>
      </c>
      <c r="Q70" s="9" t="s">
        <v>70</v>
      </c>
    </row>
    <row r="71" spans="7:17">
      <c r="G71" s="12" t="s">
        <v>71</v>
      </c>
      <c r="H71" s="8">
        <v>4</v>
      </c>
      <c r="I71" s="9"/>
      <c r="O71" s="12" t="s">
        <v>71</v>
      </c>
      <c r="P71" s="8">
        <v>4</v>
      </c>
      <c r="Q71" s="9"/>
    </row>
    <row r="72" spans="7:17">
      <c r="G72" s="12" t="s">
        <v>72</v>
      </c>
      <c r="H72" s="8">
        <v>14</v>
      </c>
      <c r="I72" s="9" t="s">
        <v>73</v>
      </c>
      <c r="O72" s="12" t="s">
        <v>72</v>
      </c>
      <c r="P72" s="8">
        <v>14</v>
      </c>
      <c r="Q72" s="9" t="s">
        <v>73</v>
      </c>
    </row>
    <row r="73" spans="7:17">
      <c r="G73" s="12" t="s">
        <v>74</v>
      </c>
      <c r="H73" s="8"/>
      <c r="I73" s="9"/>
      <c r="O73" s="12" t="s">
        <v>74</v>
      </c>
      <c r="P73" s="8"/>
      <c r="Q73" s="9"/>
    </row>
    <row r="74" spans="7:17">
      <c r="G74" s="9"/>
      <c r="H74" s="8"/>
      <c r="I74" s="9"/>
      <c r="O74" s="9"/>
      <c r="P74" s="8"/>
      <c r="Q74" s="9"/>
    </row>
    <row r="75" spans="7:17">
      <c r="G75" s="23" t="s">
        <v>76</v>
      </c>
      <c r="H75" s="8"/>
      <c r="I75" s="9"/>
      <c r="O75" s="23" t="s">
        <v>76</v>
      </c>
      <c r="P75" s="8"/>
      <c r="Q75" s="9"/>
    </row>
    <row r="76" spans="7:17">
      <c r="G76" s="9"/>
      <c r="H76" s="8"/>
      <c r="I76" s="9"/>
      <c r="O76" s="9"/>
      <c r="P76" s="8"/>
      <c r="Q76" s="9"/>
    </row>
    <row r="77" spans="7:17">
      <c r="G77" s="12" t="s">
        <v>77</v>
      </c>
      <c r="H77" s="8">
        <v>12</v>
      </c>
      <c r="I77" s="9"/>
      <c r="O77" s="12" t="s">
        <v>77</v>
      </c>
      <c r="P77" s="8">
        <v>12</v>
      </c>
      <c r="Q77" s="9"/>
    </row>
    <row r="78" spans="7:17">
      <c r="G78" s="12" t="s">
        <v>72</v>
      </c>
      <c r="H78" s="8">
        <v>14</v>
      </c>
      <c r="I78" s="9"/>
      <c r="O78" s="12" t="s">
        <v>72</v>
      </c>
      <c r="P78" s="8">
        <v>14</v>
      </c>
      <c r="Q78" s="9"/>
    </row>
    <row r="79" spans="7:17">
      <c r="G79" s="12" t="s">
        <v>78</v>
      </c>
      <c r="H79" s="8">
        <f>H77*H78*H69</f>
        <v>1209.6000000000001</v>
      </c>
      <c r="I79" s="9" t="s">
        <v>79</v>
      </c>
      <c r="O79" s="12" t="s">
        <v>78</v>
      </c>
      <c r="P79" s="8">
        <f>P77*P78*P69</f>
        <v>1209.6000000000001</v>
      </c>
      <c r="Q79" s="9" t="s">
        <v>79</v>
      </c>
    </row>
    <row r="80" spans="7:17">
      <c r="G80" s="12" t="s">
        <v>80</v>
      </c>
      <c r="H80" s="10">
        <f>1/(2*H68*10^3)</f>
        <v>1.6666666666666667E-5</v>
      </c>
      <c r="I80" s="9" t="s">
        <v>81</v>
      </c>
      <c r="O80" s="12" t="s">
        <v>80</v>
      </c>
      <c r="P80" s="10">
        <f>1/(2*P68*10^3)</f>
        <v>8.3333333333333337E-6</v>
      </c>
      <c r="Q80" s="9" t="s">
        <v>81</v>
      </c>
    </row>
    <row r="81" spans="7:17">
      <c r="G81" s="9"/>
      <c r="H81" s="8"/>
      <c r="I81" s="9"/>
      <c r="O81" s="9"/>
      <c r="P81" s="8"/>
      <c r="Q81" s="9"/>
    </row>
    <row r="82" spans="7:17">
      <c r="G82" s="23" t="s">
        <v>83</v>
      </c>
      <c r="H82" s="8"/>
      <c r="I82" s="9"/>
      <c r="O82" s="23" t="s">
        <v>83</v>
      </c>
      <c r="P82" s="8"/>
      <c r="Q82" s="9"/>
    </row>
    <row r="83" spans="7:17">
      <c r="G83" s="9"/>
      <c r="H83" s="8"/>
      <c r="I83" s="9"/>
      <c r="O83" s="9"/>
      <c r="P83" s="8"/>
      <c r="Q83" s="9"/>
    </row>
    <row r="84" spans="7:17">
      <c r="G84" s="9" t="s">
        <v>85</v>
      </c>
      <c r="H84" s="8"/>
      <c r="I84" s="9"/>
      <c r="O84" s="9" t="s">
        <v>85</v>
      </c>
      <c r="P84" s="8"/>
      <c r="Q84" s="9"/>
    </row>
    <row r="85" spans="7:17">
      <c r="G85" s="12" t="s">
        <v>86</v>
      </c>
      <c r="H85" s="8">
        <f>1/0.5*1000</f>
        <v>2000</v>
      </c>
      <c r="I85" s="9"/>
      <c r="O85" s="12" t="s">
        <v>86</v>
      </c>
      <c r="P85" s="8">
        <f>1/0.5*1000</f>
        <v>2000</v>
      </c>
      <c r="Q85" s="9"/>
    </row>
    <row r="86" spans="7:17">
      <c r="G86" s="12" t="s">
        <v>87</v>
      </c>
      <c r="H86" s="8">
        <f>H79*H85/10^6</f>
        <v>2.4192000000000005</v>
      </c>
      <c r="I86" s="12" t="s">
        <v>88</v>
      </c>
      <c r="O86" s="12" t="s">
        <v>87</v>
      </c>
      <c r="P86" s="8">
        <f>P79*P85/10^6</f>
        <v>2.4192000000000005</v>
      </c>
      <c r="Q86" s="12" t="s">
        <v>88</v>
      </c>
    </row>
    <row r="87" spans="7:17">
      <c r="G87" s="9"/>
      <c r="H87" s="8"/>
      <c r="I87" s="9"/>
      <c r="O87" s="9"/>
      <c r="P87" s="8"/>
      <c r="Q87" s="9"/>
    </row>
    <row r="88" spans="7:17">
      <c r="G88" s="24" t="s">
        <v>90</v>
      </c>
      <c r="H88" s="8"/>
      <c r="I88" s="9"/>
      <c r="O88" s="24" t="s">
        <v>90</v>
      </c>
      <c r="P88" s="8"/>
      <c r="Q88" s="9"/>
    </row>
    <row r="89" spans="7:17" ht="18.75" customHeight="1">
      <c r="G89" s="9" t="s">
        <v>91</v>
      </c>
      <c r="H89" s="8"/>
      <c r="I89" s="9"/>
      <c r="O89" s="9" t="s">
        <v>91</v>
      </c>
      <c r="P89" s="8"/>
      <c r="Q89" s="9"/>
    </row>
    <row r="90" spans="7:17">
      <c r="G90" s="9"/>
      <c r="H90" s="8"/>
      <c r="I90" s="9"/>
      <c r="O90" s="9"/>
      <c r="P90" s="8"/>
      <c r="Q90" s="9"/>
    </row>
    <row r="91" spans="7:17" ht="19.5">
      <c r="G91" s="13" t="s">
        <v>93</v>
      </c>
      <c r="H91" s="11">
        <f>(H70*H71*(H86*10^6))/10^9</f>
        <v>2.6417664000000003</v>
      </c>
      <c r="I91" s="12" t="s">
        <v>94</v>
      </c>
      <c r="O91" s="13" t="s">
        <v>93</v>
      </c>
      <c r="P91" s="11">
        <f>(P70*P71*(P86*10^6))/10^9</f>
        <v>2.6611200000000004</v>
      </c>
      <c r="Q91" s="12" t="s">
        <v>94</v>
      </c>
    </row>
    <row r="92" spans="7:17">
      <c r="G92" t="s">
        <v>95</v>
      </c>
      <c r="H92">
        <v>7.75</v>
      </c>
      <c r="O92" t="s">
        <v>95</v>
      </c>
      <c r="P92">
        <v>7.75</v>
      </c>
    </row>
    <row r="93" spans="7:17">
      <c r="G93" t="s">
        <v>96</v>
      </c>
      <c r="H93">
        <f>((H91*10^3)*(100%-20%))/H92</f>
        <v>272.69846709677427</v>
      </c>
      <c r="O93" t="s">
        <v>96</v>
      </c>
      <c r="P93">
        <f>((P91*10^3)*(100%-20%))/P92</f>
        <v>274.69625806451614</v>
      </c>
    </row>
    <row r="96" spans="7:17" ht="18">
      <c r="G96" s="14" t="s">
        <v>100</v>
      </c>
      <c r="H96" s="8"/>
      <c r="I96" s="9"/>
      <c r="O96" s="14" t="s">
        <v>100</v>
      </c>
    </row>
    <row r="97" spans="7:17">
      <c r="G97" s="23" t="s">
        <v>58</v>
      </c>
      <c r="H97" s="8"/>
      <c r="I97" s="9"/>
      <c r="O97" s="23" t="s">
        <v>58</v>
      </c>
      <c r="P97" s="8"/>
      <c r="Q97" s="9"/>
    </row>
    <row r="98" spans="7:17">
      <c r="G98" s="12" t="s">
        <v>62</v>
      </c>
      <c r="H98" s="8">
        <v>100</v>
      </c>
      <c r="I98" s="9" t="s">
        <v>63</v>
      </c>
      <c r="O98" s="12" t="s">
        <v>62</v>
      </c>
      <c r="P98" s="8">
        <v>200</v>
      </c>
      <c r="Q98" s="9" t="s">
        <v>63</v>
      </c>
    </row>
    <row r="99" spans="7:17">
      <c r="G99" s="12" t="s">
        <v>65</v>
      </c>
      <c r="H99" s="8">
        <v>30</v>
      </c>
      <c r="I99" s="9" t="s">
        <v>66</v>
      </c>
      <c r="O99" s="12" t="s">
        <v>65</v>
      </c>
      <c r="P99" s="8">
        <v>60</v>
      </c>
      <c r="Q99" s="9" t="s">
        <v>66</v>
      </c>
    </row>
    <row r="100" spans="7:17">
      <c r="G100" s="12" t="s">
        <v>67</v>
      </c>
      <c r="H100" s="8">
        <v>7.2</v>
      </c>
      <c r="I100" s="9" t="s">
        <v>68</v>
      </c>
      <c r="O100" s="12" t="s">
        <v>67</v>
      </c>
      <c r="P100" s="8">
        <v>7.2</v>
      </c>
      <c r="Q100" s="9" t="s">
        <v>68</v>
      </c>
    </row>
    <row r="101" spans="7:17">
      <c r="G101" s="12" t="s">
        <v>69</v>
      </c>
      <c r="H101" s="8">
        <f>_xlfn.FLOOR.MATH((H98*10^6-1680000 )/(H99*1000*12))</f>
        <v>273</v>
      </c>
      <c r="I101" s="9" t="s">
        <v>70</v>
      </c>
      <c r="O101" s="12" t="s">
        <v>69</v>
      </c>
      <c r="P101" s="8">
        <f>_xlfn.FLOOR.MATH((P98*10^6-1680000 )/(P99*1000*12))</f>
        <v>275</v>
      </c>
      <c r="Q101" s="9" t="s">
        <v>70</v>
      </c>
    </row>
    <row r="102" spans="7:17">
      <c r="G102" s="12" t="s">
        <v>71</v>
      </c>
      <c r="H102" s="8">
        <v>4</v>
      </c>
      <c r="I102" s="9"/>
      <c r="O102" s="12" t="s">
        <v>71</v>
      </c>
      <c r="P102" s="8">
        <v>4</v>
      </c>
      <c r="Q102" s="9"/>
    </row>
    <row r="103" spans="7:17">
      <c r="G103" s="12" t="s">
        <v>72</v>
      </c>
      <c r="H103" s="8">
        <v>14</v>
      </c>
      <c r="I103" s="9" t="s">
        <v>73</v>
      </c>
      <c r="O103" s="12" t="s">
        <v>72</v>
      </c>
      <c r="P103" s="8">
        <v>14</v>
      </c>
      <c r="Q103" s="9" t="s">
        <v>73</v>
      </c>
    </row>
    <row r="104" spans="7:17">
      <c r="G104" s="12" t="s">
        <v>74</v>
      </c>
      <c r="H104" s="8"/>
      <c r="I104" s="9"/>
      <c r="O104" s="12" t="s">
        <v>74</v>
      </c>
      <c r="P104" s="8"/>
      <c r="Q104" s="9"/>
    </row>
    <row r="105" spans="7:17">
      <c r="G105" s="9"/>
      <c r="H105" s="8"/>
      <c r="I105" s="9"/>
      <c r="O105" s="9"/>
      <c r="P105" s="8"/>
      <c r="Q105" s="9"/>
    </row>
    <row r="106" spans="7:17">
      <c r="G106" s="23" t="s">
        <v>76</v>
      </c>
      <c r="H106" s="8"/>
      <c r="I106" s="9"/>
      <c r="O106" s="23" t="s">
        <v>76</v>
      </c>
      <c r="P106" s="8"/>
      <c r="Q106" s="9"/>
    </row>
    <row r="107" spans="7:17">
      <c r="G107" s="9"/>
      <c r="H107" s="8"/>
      <c r="I107" s="9"/>
      <c r="O107" s="9"/>
      <c r="P107" s="8"/>
      <c r="Q107" s="9"/>
    </row>
    <row r="108" spans="7:17">
      <c r="G108" s="12" t="s">
        <v>77</v>
      </c>
      <c r="H108" s="8">
        <v>12</v>
      </c>
      <c r="I108" s="9"/>
      <c r="O108" s="12" t="s">
        <v>77</v>
      </c>
      <c r="P108" s="8">
        <v>12</v>
      </c>
      <c r="Q108" s="9"/>
    </row>
    <row r="109" spans="7:17">
      <c r="G109" s="12" t="s">
        <v>72</v>
      </c>
      <c r="H109" s="8">
        <v>14</v>
      </c>
      <c r="I109" s="9"/>
      <c r="O109" s="12" t="s">
        <v>72</v>
      </c>
      <c r="P109" s="8">
        <v>14</v>
      </c>
      <c r="Q109" s="9"/>
    </row>
    <row r="110" spans="7:17">
      <c r="G110" s="12" t="s">
        <v>78</v>
      </c>
      <c r="H110" s="8">
        <f>H108*H109*H100</f>
        <v>1209.6000000000001</v>
      </c>
      <c r="I110" s="9" t="s">
        <v>79</v>
      </c>
      <c r="O110" s="12" t="s">
        <v>78</v>
      </c>
      <c r="P110" s="8">
        <f>P108*P109*P100</f>
        <v>1209.6000000000001</v>
      </c>
      <c r="Q110" s="9" t="s">
        <v>79</v>
      </c>
    </row>
    <row r="111" spans="7:17">
      <c r="G111" s="12" t="s">
        <v>80</v>
      </c>
      <c r="H111" s="10">
        <f>1/(2*H99*10^3)</f>
        <v>1.6666666666666667E-5</v>
      </c>
      <c r="I111" s="9" t="s">
        <v>81</v>
      </c>
      <c r="O111" s="12" t="s">
        <v>80</v>
      </c>
      <c r="P111" s="10">
        <f>1/(2*P99*10^3)</f>
        <v>8.3333333333333337E-6</v>
      </c>
      <c r="Q111" s="9" t="s">
        <v>81</v>
      </c>
    </row>
    <row r="112" spans="7:17">
      <c r="G112" s="9"/>
      <c r="H112" s="8"/>
      <c r="I112" s="9"/>
      <c r="O112" s="9"/>
      <c r="P112" s="8"/>
      <c r="Q112" s="9"/>
    </row>
    <row r="113" spans="7:17">
      <c r="G113" s="23" t="s">
        <v>83</v>
      </c>
      <c r="H113" s="8"/>
      <c r="I113" s="9"/>
      <c r="O113" s="23" t="s">
        <v>83</v>
      </c>
      <c r="P113" s="8"/>
      <c r="Q113" s="9"/>
    </row>
    <row r="114" spans="7:17">
      <c r="G114" s="9"/>
      <c r="H114" s="8"/>
      <c r="I114" s="9"/>
      <c r="O114" s="9"/>
      <c r="P114" s="8"/>
      <c r="Q114" s="9"/>
    </row>
    <row r="115" spans="7:17">
      <c r="G115" s="9" t="s">
        <v>85</v>
      </c>
      <c r="H115" s="8"/>
      <c r="I115" s="9"/>
      <c r="O115" s="9" t="s">
        <v>85</v>
      </c>
      <c r="P115" s="8"/>
      <c r="Q115" s="9"/>
    </row>
    <row r="116" spans="7:17">
      <c r="G116" s="12" t="s">
        <v>86</v>
      </c>
      <c r="H116" s="8">
        <f>1/0.5*1000</f>
        <v>2000</v>
      </c>
      <c r="I116" s="9"/>
      <c r="O116" s="12" t="s">
        <v>86</v>
      </c>
      <c r="P116" s="8">
        <f>1/0.5*1000</f>
        <v>2000</v>
      </c>
      <c r="Q116" s="9"/>
    </row>
    <row r="117" spans="7:17">
      <c r="G117" s="12" t="s">
        <v>87</v>
      </c>
      <c r="H117" s="8">
        <f>H110*H116/10^6</f>
        <v>2.4192000000000005</v>
      </c>
      <c r="I117" s="12" t="s">
        <v>88</v>
      </c>
      <c r="O117" s="12" t="s">
        <v>87</v>
      </c>
      <c r="P117" s="8">
        <f>P110*P116/10^6</f>
        <v>2.4192000000000005</v>
      </c>
      <c r="Q117" s="12" t="s">
        <v>88</v>
      </c>
    </row>
    <row r="118" spans="7:17">
      <c r="G118" s="9"/>
      <c r="H118" s="8"/>
      <c r="I118" s="9"/>
      <c r="O118" s="9"/>
      <c r="P118" s="8"/>
      <c r="Q118" s="9"/>
    </row>
    <row r="119" spans="7:17">
      <c r="G119" s="24" t="s">
        <v>90</v>
      </c>
      <c r="H119" s="8"/>
      <c r="I119" s="9"/>
      <c r="O119" s="24" t="s">
        <v>90</v>
      </c>
      <c r="P119" s="8"/>
      <c r="Q119" s="9"/>
    </row>
    <row r="120" spans="7:17" ht="18" customHeight="1">
      <c r="G120" s="9" t="s">
        <v>91</v>
      </c>
      <c r="H120" s="8"/>
      <c r="I120" s="9"/>
      <c r="O120" s="9" t="s">
        <v>91</v>
      </c>
      <c r="P120" s="8"/>
      <c r="Q120" s="9"/>
    </row>
    <row r="121" spans="7:17">
      <c r="G121" s="9"/>
      <c r="H121" s="8"/>
      <c r="I121" s="9"/>
      <c r="O121" s="9"/>
      <c r="P121" s="8"/>
      <c r="Q121" s="9"/>
    </row>
    <row r="122" spans="7:17" ht="19.5">
      <c r="G122" s="13" t="s">
        <v>93</v>
      </c>
      <c r="H122" s="11">
        <f>(H101*H102*(H117*10^6))/10^9</f>
        <v>2.6417664000000003</v>
      </c>
      <c r="I122" s="12" t="s">
        <v>94</v>
      </c>
      <c r="O122" s="13" t="s">
        <v>93</v>
      </c>
      <c r="P122" s="11">
        <f>(P101*P102*(P117*10^6))/10^9</f>
        <v>2.6611200000000004</v>
      </c>
      <c r="Q122" s="12" t="s">
        <v>94</v>
      </c>
    </row>
    <row r="123" spans="7:17">
      <c r="G123" t="s">
        <v>95</v>
      </c>
      <c r="H123">
        <v>15</v>
      </c>
      <c r="O123" t="s">
        <v>95</v>
      </c>
      <c r="P123">
        <v>15</v>
      </c>
    </row>
    <row r="124" spans="7:17">
      <c r="G124" t="s">
        <v>96</v>
      </c>
      <c r="H124">
        <f>((H122*10^3)*(100%-20%))/H123</f>
        <v>140.89420800000005</v>
      </c>
      <c r="O124" t="s">
        <v>96</v>
      </c>
      <c r="P124">
        <f>((P122*10^3)*(100%-20%))/P123</f>
        <v>141.9264</v>
      </c>
      <c r="Q124" s="15" t="s">
        <v>36</v>
      </c>
    </row>
    <row r="127" spans="7:17" ht="18">
      <c r="G127" s="14" t="s">
        <v>101</v>
      </c>
      <c r="H127" s="8"/>
      <c r="I127" s="9"/>
    </row>
    <row r="128" spans="7:17">
      <c r="G128" s="23" t="s">
        <v>58</v>
      </c>
      <c r="H128" s="8"/>
      <c r="I128" s="9"/>
    </row>
    <row r="129" spans="7:9">
      <c r="G129" s="12" t="s">
        <v>62</v>
      </c>
      <c r="H129" s="8">
        <v>100</v>
      </c>
      <c r="I129" s="9" t="s">
        <v>63</v>
      </c>
    </row>
    <row r="130" spans="7:9">
      <c r="G130" s="12" t="s">
        <v>65</v>
      </c>
      <c r="H130" s="8">
        <v>30</v>
      </c>
      <c r="I130" s="9" t="s">
        <v>66</v>
      </c>
    </row>
    <row r="131" spans="7:9">
      <c r="G131" s="12" t="s">
        <v>67</v>
      </c>
      <c r="H131" s="8">
        <v>7.2</v>
      </c>
      <c r="I131" s="9" t="s">
        <v>68</v>
      </c>
    </row>
    <row r="132" spans="7:9">
      <c r="G132" s="12" t="s">
        <v>69</v>
      </c>
      <c r="H132" s="8">
        <f>_xlfn.FLOOR.MATH((H129*10^6-1680000 )/(H130*1000*12))</f>
        <v>273</v>
      </c>
      <c r="I132" s="9" t="s">
        <v>70</v>
      </c>
    </row>
    <row r="133" spans="7:9">
      <c r="G133" s="12" t="s">
        <v>71</v>
      </c>
      <c r="H133" s="8">
        <v>4</v>
      </c>
      <c r="I133" s="9"/>
    </row>
    <row r="134" spans="7:9">
      <c r="G134" s="12" t="s">
        <v>72</v>
      </c>
      <c r="H134" s="8">
        <v>14</v>
      </c>
      <c r="I134" s="9" t="s">
        <v>73</v>
      </c>
    </row>
    <row r="135" spans="7:9">
      <c r="G135" s="12" t="s">
        <v>74</v>
      </c>
      <c r="H135" s="8"/>
      <c r="I135" s="9"/>
    </row>
    <row r="136" spans="7:9">
      <c r="G136" s="9"/>
      <c r="H136" s="8"/>
      <c r="I136" s="9"/>
    </row>
    <row r="137" spans="7:9">
      <c r="G137" s="23" t="s">
        <v>76</v>
      </c>
      <c r="H137" s="8"/>
      <c r="I137" s="9"/>
    </row>
    <row r="138" spans="7:9">
      <c r="G138" s="9"/>
      <c r="H138" s="8"/>
      <c r="I138" s="9"/>
    </row>
    <row r="139" spans="7:9">
      <c r="G139" s="12" t="s">
        <v>77</v>
      </c>
      <c r="H139" s="8">
        <v>12</v>
      </c>
      <c r="I139" s="9"/>
    </row>
    <row r="140" spans="7:9">
      <c r="G140" s="12" t="s">
        <v>72</v>
      </c>
      <c r="H140" s="8">
        <v>14</v>
      </c>
      <c r="I140" s="9"/>
    </row>
    <row r="141" spans="7:9">
      <c r="G141" s="12" t="s">
        <v>78</v>
      </c>
      <c r="H141" s="8">
        <f>H139*H140*H131</f>
        <v>1209.6000000000001</v>
      </c>
      <c r="I141" s="9" t="s">
        <v>79</v>
      </c>
    </row>
    <row r="142" spans="7:9">
      <c r="G142" s="12" t="s">
        <v>80</v>
      </c>
      <c r="H142" s="10">
        <f>1/(2*H130*10^3)</f>
        <v>1.6666666666666667E-5</v>
      </c>
      <c r="I142" s="9" t="s">
        <v>81</v>
      </c>
    </row>
    <row r="143" spans="7:9">
      <c r="G143" s="9"/>
      <c r="H143" s="8"/>
      <c r="I143" s="9"/>
    </row>
    <row r="144" spans="7:9">
      <c r="G144" s="23" t="s">
        <v>83</v>
      </c>
      <c r="H144" s="8"/>
      <c r="I144" s="9"/>
    </row>
    <row r="145" spans="7:9">
      <c r="G145" s="9"/>
      <c r="H145" s="8"/>
      <c r="I145" s="9"/>
    </row>
    <row r="146" spans="7:9">
      <c r="G146" s="9" t="s">
        <v>85</v>
      </c>
      <c r="H146" s="8"/>
      <c r="I146" s="9"/>
    </row>
    <row r="147" spans="7:9">
      <c r="G147" s="12" t="s">
        <v>86</v>
      </c>
      <c r="H147" s="8">
        <f>1/0.5*1000</f>
        <v>2000</v>
      </c>
      <c r="I147" s="9"/>
    </row>
    <row r="148" spans="7:9">
      <c r="G148" s="12" t="s">
        <v>87</v>
      </c>
      <c r="H148" s="8">
        <f>H141*H147/10^6</f>
        <v>2.4192000000000005</v>
      </c>
      <c r="I148" s="12" t="s">
        <v>88</v>
      </c>
    </row>
    <row r="149" spans="7:9">
      <c r="G149" s="9"/>
      <c r="H149" s="8"/>
      <c r="I149" s="9"/>
    </row>
    <row r="150" spans="7:9">
      <c r="G150" s="24" t="s">
        <v>90</v>
      </c>
      <c r="H150" s="8"/>
      <c r="I150" s="9"/>
    </row>
    <row r="151" spans="7:9" ht="17.25" customHeight="1">
      <c r="G151" s="9" t="s">
        <v>91</v>
      </c>
      <c r="H151" s="8"/>
      <c r="I151" s="9"/>
    </row>
    <row r="152" spans="7:9">
      <c r="G152" s="9"/>
      <c r="H152" s="8"/>
      <c r="I152" s="9"/>
    </row>
    <row r="153" spans="7:9" ht="19.5">
      <c r="G153" s="13" t="s">
        <v>93</v>
      </c>
      <c r="H153" s="11">
        <f>(H132*H133*(H148*10^6))/10^9</f>
        <v>2.6417664000000003</v>
      </c>
      <c r="I153" s="12" t="s">
        <v>94</v>
      </c>
    </row>
    <row r="154" spans="7:9">
      <c r="G154" t="s">
        <v>95</v>
      </c>
      <c r="H154">
        <v>6.6</v>
      </c>
    </row>
    <row r="155" spans="7:9">
      <c r="G155" t="s">
        <v>96</v>
      </c>
      <c r="H155">
        <f>((H153*10^3)*(100%-20%))/H154</f>
        <v>320.21410909090918</v>
      </c>
    </row>
  </sheetData>
  <mergeCells count="2">
    <mergeCell ref="G2:I2"/>
    <mergeCell ref="O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Hasan Ali Hasan Mohamed Bahzad</cp:lastModifiedBy>
  <cp:revision/>
  <dcterms:created xsi:type="dcterms:W3CDTF">2025-05-03T15:53:42Z</dcterms:created>
  <dcterms:modified xsi:type="dcterms:W3CDTF">2025-05-10T12:31:04Z</dcterms:modified>
  <cp:category/>
  <cp:contentStatus/>
</cp:coreProperties>
</file>